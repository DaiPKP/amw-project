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heets/sheet1.xml" ContentType="application/vnd.openxmlformats-officedocument.spreadsheetml.chart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345" yWindow="-15" windowWidth="6360" windowHeight="6045" activeTab="2"/>
  </bookViews>
  <sheets>
    <sheet name="MainMenu" sheetId="5" r:id="rId1"/>
    <sheet name="Reports" sheetId="4" r:id="rId2"/>
    <sheet name="MeetingHistoryData" sheetId="1" r:id="rId3"/>
    <sheet name="DistMeetingQuota" sheetId="3" r:id="rId4"/>
    <sheet name="Chart2" sheetId="12" r:id="rId5"/>
    <sheet name="Price" sheetId="8" r:id="rId6"/>
    <sheet name="MEAL ALLOWANCE 2000PAX" sheetId="11" r:id="rId7"/>
    <sheet name="MEETING Cancel" sheetId="10" r:id="rId8"/>
  </sheets>
  <definedNames>
    <definedName name="_xlnm._FilterDatabase" localSheetId="2" hidden="1">MeetingHistoryData!$X$3</definedName>
    <definedName name="ADAList2">MainMenu!$C$37:$J$39</definedName>
    <definedName name="ADAListContent">MainMenu!$D$37:$J$39</definedName>
    <definedName name="MeetingContent">MainMenu!$C$44:$H$57</definedName>
    <definedName name="_xlnm.Print_Area" localSheetId="6">'MEAL ALLOWANCE 2000PAX'!#REF!</definedName>
    <definedName name="_xlnm.Print_Area" localSheetId="7">'MEETING Cancel'!#REF!</definedName>
    <definedName name="_xlnm.Print_Area" localSheetId="2">MeetingHistoryData!#REF!</definedName>
    <definedName name="_xlnm.Print_Titles" localSheetId="3">DistMeetingQuota!$16:$16</definedName>
  </definedNames>
  <calcPr calcId="124519"/>
</workbook>
</file>

<file path=xl/calcChain.xml><?xml version="1.0" encoding="utf-8"?>
<calcChain xmlns="http://schemas.openxmlformats.org/spreadsheetml/2006/main">
  <c r="K35" i="11"/>
  <c r="K36"/>
  <c r="K37"/>
  <c r="L30" i="10"/>
  <c r="F515" i="3"/>
  <c r="H515" s="1"/>
  <c r="G515" l="1"/>
  <c r="L29" i="10"/>
  <c r="L28"/>
  <c r="F1006" i="3" l="1"/>
  <c r="G1006" s="1"/>
  <c r="F1007"/>
  <c r="G1007" s="1"/>
  <c r="H1008"/>
  <c r="L27" i="10"/>
  <c r="F726" i="3"/>
  <c r="G726" s="1"/>
  <c r="F724"/>
  <c r="G724" s="1"/>
  <c r="F1175"/>
  <c r="G1175" s="1"/>
  <c r="F1174"/>
  <c r="G1174" s="1"/>
  <c r="F702"/>
  <c r="G702" s="1"/>
  <c r="L26" i="10"/>
  <c r="L25"/>
  <c r="H1007" i="3" l="1"/>
  <c r="H1006"/>
  <c r="G1008"/>
  <c r="H726"/>
  <c r="H724"/>
  <c r="H1175"/>
  <c r="H1174"/>
  <c r="H702"/>
  <c r="K32" i="11" l="1"/>
  <c r="K33"/>
  <c r="K34"/>
  <c r="F359" i="3" l="1"/>
  <c r="G359" s="1"/>
  <c r="H359" l="1"/>
  <c r="F646"/>
  <c r="G646" s="1"/>
  <c r="F963"/>
  <c r="G963" s="1"/>
  <c r="F426"/>
  <c r="G426" s="1"/>
  <c r="F1173"/>
  <c r="G1173" s="1"/>
  <c r="F1133"/>
  <c r="G1133" s="1"/>
  <c r="H646" l="1"/>
  <c r="H963"/>
  <c r="H426"/>
  <c r="H1173"/>
  <c r="H1133"/>
  <c r="F1172"/>
  <c r="G1172" s="1"/>
  <c r="F203"/>
  <c r="G203" s="1"/>
  <c r="L24" i="10"/>
  <c r="L23"/>
  <c r="L22"/>
  <c r="L21"/>
  <c r="L20"/>
  <c r="L19"/>
  <c r="L18"/>
  <c r="L17"/>
  <c r="L16"/>
  <c r="L15"/>
  <c r="L14"/>
  <c r="F1171" i="3"/>
  <c r="G1171" s="1"/>
  <c r="F1170"/>
  <c r="G1170" s="1"/>
  <c r="H1172" l="1"/>
  <c r="H203"/>
  <c r="H1171"/>
  <c r="H1170"/>
  <c r="F1169" l="1"/>
  <c r="G1169" s="1"/>
  <c r="H1064"/>
  <c r="F1168"/>
  <c r="G1168" s="1"/>
  <c r="H1169" l="1"/>
  <c r="G1064"/>
  <c r="H1168"/>
  <c r="F1167" l="1"/>
  <c r="G1167" s="1"/>
  <c r="F1166"/>
  <c r="G1166" s="1"/>
  <c r="H1167" l="1"/>
  <c r="H1166"/>
  <c r="F191" l="1"/>
  <c r="G191" s="1"/>
  <c r="F1075"/>
  <c r="G1075" s="1"/>
  <c r="F1038"/>
  <c r="G1038" s="1"/>
  <c r="F1037"/>
  <c r="G1037" s="1"/>
  <c r="H191" l="1"/>
  <c r="H1075"/>
  <c r="H1038"/>
  <c r="H1037"/>
  <c r="F1036"/>
  <c r="G1036" s="1"/>
  <c r="F1035"/>
  <c r="G1035" s="1"/>
  <c r="F1165"/>
  <c r="G1165" s="1"/>
  <c r="F1109"/>
  <c r="G1109" s="1"/>
  <c r="F1164"/>
  <c r="G1164" s="1"/>
  <c r="F1163"/>
  <c r="G1163" s="1"/>
  <c r="F174"/>
  <c r="G174" s="1"/>
  <c r="L13" i="10"/>
  <c r="L12"/>
  <c r="L11"/>
  <c r="L10"/>
  <c r="H1036" i="3" l="1"/>
  <c r="H1035"/>
  <c r="H1165"/>
  <c r="H1109"/>
  <c r="H1164"/>
  <c r="H1163"/>
  <c r="H174"/>
  <c r="F200"/>
  <c r="G200" s="1"/>
  <c r="F917"/>
  <c r="G917" s="1"/>
  <c r="F853"/>
  <c r="G853" s="1"/>
  <c r="F61"/>
  <c r="G61" s="1"/>
  <c r="F144"/>
  <c r="F143"/>
  <c r="K30" i="11"/>
  <c r="K31"/>
  <c r="K29"/>
  <c r="K26"/>
  <c r="H200" i="3" l="1"/>
  <c r="H917"/>
  <c r="H853"/>
  <c r="H61"/>
  <c r="F1128"/>
  <c r="G1128" s="1"/>
  <c r="H1128" l="1"/>
  <c r="F1107" l="1"/>
  <c r="G1107" s="1"/>
  <c r="L9" i="10"/>
  <c r="L8"/>
  <c r="F1161" i="3"/>
  <c r="G1161" s="1"/>
  <c r="F1162"/>
  <c r="G1162" s="1"/>
  <c r="H1107" l="1"/>
  <c r="H1161"/>
  <c r="H1162"/>
  <c r="F1159" l="1"/>
  <c r="G1159" s="1"/>
  <c r="H1159" l="1"/>
  <c r="F1160"/>
  <c r="G1160" s="1"/>
  <c r="F1158"/>
  <c r="G1158" s="1"/>
  <c r="F1157"/>
  <c r="G1157" s="1"/>
  <c r="F490"/>
  <c r="G490" s="1"/>
  <c r="F564"/>
  <c r="G564" s="1"/>
  <c r="H1160" l="1"/>
  <c r="H1158"/>
  <c r="H1157"/>
  <c r="H490"/>
  <c r="H564"/>
  <c r="L7" i="10" l="1"/>
  <c r="L6"/>
  <c r="L5"/>
  <c r="L4"/>
  <c r="F755" i="3" l="1"/>
  <c r="G755" s="1"/>
  <c r="F739"/>
  <c r="G739" s="1"/>
  <c r="F1156"/>
  <c r="G1156" s="1"/>
  <c r="F1155"/>
  <c r="G1155" s="1"/>
  <c r="F1154"/>
  <c r="G1154" s="1"/>
  <c r="F1153"/>
  <c r="G1153" s="1"/>
  <c r="F1152"/>
  <c r="G1152" s="1"/>
  <c r="F1151"/>
  <c r="G1151" s="1"/>
  <c r="F1150"/>
  <c r="G1150" s="1"/>
  <c r="K27" i="11"/>
  <c r="K28"/>
  <c r="H755" i="3" l="1"/>
  <c r="H739"/>
  <c r="H1156"/>
  <c r="H1155"/>
  <c r="H1154"/>
  <c r="H1153"/>
  <c r="H1152"/>
  <c r="H1151"/>
  <c r="H1150"/>
  <c r="F1149"/>
  <c r="G1149" s="1"/>
  <c r="H1149" l="1"/>
  <c r="F1148"/>
  <c r="G1148" s="1"/>
  <c r="F1146"/>
  <c r="G1146" s="1"/>
  <c r="F1147"/>
  <c r="G1147" s="1"/>
  <c r="F1145"/>
  <c r="G1145" s="1"/>
  <c r="F1144"/>
  <c r="G1144" s="1"/>
  <c r="F1143"/>
  <c r="G1143" s="1"/>
  <c r="F1142"/>
  <c r="G1142" s="1"/>
  <c r="F1141"/>
  <c r="G1141" s="1"/>
  <c r="F1140"/>
  <c r="G1140" s="1"/>
  <c r="F1139"/>
  <c r="G1139" s="1"/>
  <c r="F1138"/>
  <c r="G1138" s="1"/>
  <c r="F1137"/>
  <c r="G1137" s="1"/>
  <c r="F644"/>
  <c r="G644" s="1"/>
  <c r="F1136"/>
  <c r="G1136" s="1"/>
  <c r="H1148" l="1"/>
  <c r="H1146"/>
  <c r="H1147"/>
  <c r="H1145"/>
  <c r="H1144"/>
  <c r="H1143"/>
  <c r="H1142"/>
  <c r="H1141"/>
  <c r="H1140"/>
  <c r="H1139"/>
  <c r="H1138"/>
  <c r="H1137"/>
  <c r="H644"/>
  <c r="H1136"/>
  <c r="F1135"/>
  <c r="G1135" s="1"/>
  <c r="F1134"/>
  <c r="G1134" s="1"/>
  <c r="F905"/>
  <c r="G905" s="1"/>
  <c r="H1135" l="1"/>
  <c r="H1134"/>
  <c r="H905"/>
  <c r="F952" l="1"/>
  <c r="G952" s="1"/>
  <c r="F1132"/>
  <c r="G1132" s="1"/>
  <c r="F98"/>
  <c r="G98" s="1"/>
  <c r="F1131"/>
  <c r="G1131" s="1"/>
  <c r="F38"/>
  <c r="G38" s="1"/>
  <c r="F64"/>
  <c r="G64" s="1"/>
  <c r="F1130"/>
  <c r="G1130" s="1"/>
  <c r="F930"/>
  <c r="G930" s="1"/>
  <c r="F935"/>
  <c r="G935" s="1"/>
  <c r="F933"/>
  <c r="G933" s="1"/>
  <c r="F841"/>
  <c r="G841" s="1"/>
  <c r="F842"/>
  <c r="G842" s="1"/>
  <c r="F1129"/>
  <c r="G1129" s="1"/>
  <c r="F478"/>
  <c r="G478" s="1"/>
  <c r="H952" l="1"/>
  <c r="H1132"/>
  <c r="H98"/>
  <c r="H1131"/>
  <c r="H38"/>
  <c r="H64"/>
  <c r="H1130"/>
  <c r="H930"/>
  <c r="H935"/>
  <c r="H933"/>
  <c r="H841"/>
  <c r="H842"/>
  <c r="H1129"/>
  <c r="H478"/>
  <c r="F953"/>
  <c r="G953" s="1"/>
  <c r="F1127"/>
  <c r="G1127" s="1"/>
  <c r="H953" l="1"/>
  <c r="H1127"/>
  <c r="F1123" l="1"/>
  <c r="G1123" s="1"/>
  <c r="F1124"/>
  <c r="G1124" s="1"/>
  <c r="F1122"/>
  <c r="G1122" s="1"/>
  <c r="F1125"/>
  <c r="G1125" s="1"/>
  <c r="F1029"/>
  <c r="G1029" s="1"/>
  <c r="H1123" l="1"/>
  <c r="H1124"/>
  <c r="H1122"/>
  <c r="H1125"/>
  <c r="H1029"/>
  <c r="F171"/>
  <c r="G171" s="1"/>
  <c r="F1067"/>
  <c r="G1067" s="1"/>
  <c r="H171" l="1"/>
  <c r="H1067"/>
  <c r="F795" l="1"/>
  <c r="G795" s="1"/>
  <c r="F1089"/>
  <c r="G1089" s="1"/>
  <c r="F1126"/>
  <c r="G1126" s="1"/>
  <c r="F275"/>
  <c r="G275" s="1"/>
  <c r="F1120"/>
  <c r="G1120" s="1"/>
  <c r="H795" l="1"/>
  <c r="H1089"/>
  <c r="H1126"/>
  <c r="H275"/>
  <c r="H1120"/>
  <c r="F1121" l="1"/>
  <c r="G1121" s="1"/>
  <c r="F1080"/>
  <c r="G1080" s="1"/>
  <c r="F1119"/>
  <c r="G1119" s="1"/>
  <c r="F1118"/>
  <c r="G1118" s="1"/>
  <c r="F1117"/>
  <c r="G1117" s="1"/>
  <c r="F1116"/>
  <c r="G1116" s="1"/>
  <c r="F1115"/>
  <c r="G1115" s="1"/>
  <c r="F562"/>
  <c r="G562" s="1"/>
  <c r="F1114"/>
  <c r="G1114" s="1"/>
  <c r="F1113"/>
  <c r="G1113" s="1"/>
  <c r="F1060"/>
  <c r="G1060" s="1"/>
  <c r="F998"/>
  <c r="G998" s="1"/>
  <c r="F1112"/>
  <c r="G1112" s="1"/>
  <c r="F966"/>
  <c r="G966" s="1"/>
  <c r="F1111"/>
  <c r="G1111" s="1"/>
  <c r="F1110"/>
  <c r="G1110" s="1"/>
  <c r="H1121" l="1"/>
  <c r="H1080"/>
  <c r="H1119"/>
  <c r="H1118"/>
  <c r="H1117"/>
  <c r="H1116"/>
  <c r="H1115"/>
  <c r="H562"/>
  <c r="H1114"/>
  <c r="H1113"/>
  <c r="H1060"/>
  <c r="H998"/>
  <c r="H1112"/>
  <c r="H966"/>
  <c r="H1111"/>
  <c r="H1110"/>
  <c r="F1108"/>
  <c r="G1108" s="1"/>
  <c r="F1106"/>
  <c r="G1106" s="1"/>
  <c r="F1105"/>
  <c r="G1105" s="1"/>
  <c r="H1108" l="1"/>
  <c r="H1106"/>
  <c r="H1105"/>
  <c r="F1104"/>
  <c r="G1104" s="1"/>
  <c r="H1104" l="1"/>
  <c r="F1103"/>
  <c r="G1103" s="1"/>
  <c r="F300"/>
  <c r="G300" s="1"/>
  <c r="F1102"/>
  <c r="G1102" s="1"/>
  <c r="F1101"/>
  <c r="G1101" s="1"/>
  <c r="F1100"/>
  <c r="G1100" s="1"/>
  <c r="F1099"/>
  <c r="G1099" s="1"/>
  <c r="F1098"/>
  <c r="G1098" s="1"/>
  <c r="F1097"/>
  <c r="G1097" s="1"/>
  <c r="H1103" l="1"/>
  <c r="H300"/>
  <c r="H1102"/>
  <c r="H1101"/>
  <c r="H1100"/>
  <c r="H1099"/>
  <c r="H1098"/>
  <c r="H1097"/>
  <c r="F1096" l="1"/>
  <c r="G1096" s="1"/>
  <c r="F1095"/>
  <c r="G1095" s="1"/>
  <c r="H1096" l="1"/>
  <c r="H1095"/>
  <c r="F1093" l="1"/>
  <c r="G1093" s="1"/>
  <c r="F1094"/>
  <c r="G1094" s="1"/>
  <c r="F1091"/>
  <c r="G1091" s="1"/>
  <c r="F65"/>
  <c r="H65" s="1"/>
  <c r="F1090"/>
  <c r="G1090" s="1"/>
  <c r="F1088"/>
  <c r="G1088" s="1"/>
  <c r="F1087"/>
  <c r="G1087" s="1"/>
  <c r="F1085"/>
  <c r="G1085" s="1"/>
  <c r="F1086"/>
  <c r="G1086" s="1"/>
  <c r="F1092"/>
  <c r="G1092" s="1"/>
  <c r="F234"/>
  <c r="H234" s="1"/>
  <c r="F1052"/>
  <c r="H1052" s="1"/>
  <c r="F1084"/>
  <c r="G1084" s="1"/>
  <c r="F1083"/>
  <c r="G1083" s="1"/>
  <c r="F970"/>
  <c r="G970" s="1"/>
  <c r="F985"/>
  <c r="G985" s="1"/>
  <c r="F1082"/>
  <c r="G1082" s="1"/>
  <c r="F1079"/>
  <c r="G1079" s="1"/>
  <c r="F1081"/>
  <c r="G1081" s="1"/>
  <c r="F280"/>
  <c r="G280" s="1"/>
  <c r="F392"/>
  <c r="G392" s="1"/>
  <c r="F1078"/>
  <c r="G1078" s="1"/>
  <c r="F1077"/>
  <c r="G1077" s="1"/>
  <c r="F1076"/>
  <c r="G1076" s="1"/>
  <c r="F160"/>
  <c r="G160" s="1"/>
  <c r="F1071"/>
  <c r="G1071" s="1"/>
  <c r="F1074"/>
  <c r="G1074" s="1"/>
  <c r="F1073"/>
  <c r="G1073" s="1"/>
  <c r="F1058"/>
  <c r="G1058" s="1"/>
  <c r="F1072"/>
  <c r="G1072" s="1"/>
  <c r="F1070"/>
  <c r="G1070" s="1"/>
  <c r="F945"/>
  <c r="G945" s="1"/>
  <c r="F1069"/>
  <c r="G1069" s="1"/>
  <c r="F1068"/>
  <c r="G1068" s="1"/>
  <c r="H1093" l="1"/>
  <c r="H1094"/>
  <c r="H1091"/>
  <c r="G65"/>
  <c r="H1090"/>
  <c r="H1088"/>
  <c r="H1087"/>
  <c r="H1085"/>
  <c r="H1086"/>
  <c r="H1092"/>
  <c r="G234"/>
  <c r="H1083"/>
  <c r="G1052"/>
  <c r="H1084"/>
  <c r="H970"/>
  <c r="H985"/>
  <c r="H1082"/>
  <c r="H1079"/>
  <c r="H1081"/>
  <c r="H280"/>
  <c r="H392"/>
  <c r="H1078"/>
  <c r="H1077"/>
  <c r="H1076"/>
  <c r="H160"/>
  <c r="H1071"/>
  <c r="H1074"/>
  <c r="H1073"/>
  <c r="H1058"/>
  <c r="H1072"/>
  <c r="H1070"/>
  <c r="H945"/>
  <c r="H1069"/>
  <c r="H1068"/>
  <c r="K25" i="11" l="1"/>
  <c r="K17"/>
  <c r="K18"/>
  <c r="K19"/>
  <c r="K20"/>
  <c r="K21"/>
  <c r="K22"/>
  <c r="K23"/>
  <c r="K24"/>
  <c r="F1066" i="3" l="1"/>
  <c r="G1066" s="1"/>
  <c r="F1065"/>
  <c r="G1065" s="1"/>
  <c r="F42"/>
  <c r="G42" s="1"/>
  <c r="F523"/>
  <c r="G523" s="1"/>
  <c r="H1066" l="1"/>
  <c r="H1065"/>
  <c r="H42"/>
  <c r="H523"/>
  <c r="F1176" l="1"/>
  <c r="G1176" s="1"/>
  <c r="F1063"/>
  <c r="G1063" s="1"/>
  <c r="F1062"/>
  <c r="G1062" s="1"/>
  <c r="N4" i="1"/>
  <c r="K4" i="10" s="1"/>
  <c r="N5" i="1"/>
  <c r="K5" i="10" s="1"/>
  <c r="N6" i="1"/>
  <c r="K6" i="10" s="1"/>
  <c r="K9"/>
  <c r="K11"/>
  <c r="K13"/>
  <c r="N7" i="1"/>
  <c r="K7" i="10" s="1"/>
  <c r="N8" i="1"/>
  <c r="K15" i="10" s="1"/>
  <c r="K17"/>
  <c r="K19"/>
  <c r="K21"/>
  <c r="K25"/>
  <c r="K27"/>
  <c r="K29"/>
  <c r="K30" l="1"/>
  <c r="K28"/>
  <c r="K26"/>
  <c r="K20"/>
  <c r="K18"/>
  <c r="K16"/>
  <c r="K14"/>
  <c r="K12"/>
  <c r="K10"/>
  <c r="K8"/>
  <c r="K24"/>
  <c r="K22"/>
  <c r="K23"/>
  <c r="H1176" i="3"/>
  <c r="H1063"/>
  <c r="H1062"/>
  <c r="F1061"/>
  <c r="G1061" s="1"/>
  <c r="H1061" l="1"/>
  <c r="F25"/>
  <c r="G25" s="1"/>
  <c r="F1059"/>
  <c r="G1059" s="1"/>
  <c r="F806"/>
  <c r="G806" s="1"/>
  <c r="H25" l="1"/>
  <c r="H1059"/>
  <c r="H806"/>
  <c r="F1057" l="1"/>
  <c r="G1057" s="1"/>
  <c r="F1056"/>
  <c r="G1056" s="1"/>
  <c r="F125"/>
  <c r="G125" s="1"/>
  <c r="H1057" l="1"/>
  <c r="H1056"/>
  <c r="H125"/>
  <c r="F1055" l="1"/>
  <c r="G1055" s="1"/>
  <c r="H1055" l="1"/>
  <c r="F1054" l="1"/>
  <c r="G1054" s="1"/>
  <c r="F1053"/>
  <c r="G1053" s="1"/>
  <c r="F1051"/>
  <c r="G1051" s="1"/>
  <c r="F1050"/>
  <c r="G1050" s="1"/>
  <c r="F1049"/>
  <c r="G1049" s="1"/>
  <c r="F1048"/>
  <c r="G1048" s="1"/>
  <c r="F1047"/>
  <c r="G1047" s="1"/>
  <c r="F1046"/>
  <c r="G1046" s="1"/>
  <c r="F1045"/>
  <c r="G1045" s="1"/>
  <c r="F1044"/>
  <c r="G1044" s="1"/>
  <c r="F1043"/>
  <c r="G1043" s="1"/>
  <c r="F1042"/>
  <c r="G1042" s="1"/>
  <c r="F890"/>
  <c r="G890" s="1"/>
  <c r="F1041"/>
  <c r="G1041" s="1"/>
  <c r="F1040"/>
  <c r="G1040" s="1"/>
  <c r="H1054" l="1"/>
  <c r="H1053"/>
  <c r="H1051"/>
  <c r="H1050"/>
  <c r="H1049"/>
  <c r="H1048"/>
  <c r="H1047"/>
  <c r="H1046"/>
  <c r="H1045"/>
  <c r="H1044"/>
  <c r="H1043"/>
  <c r="H1042"/>
  <c r="H890"/>
  <c r="H1041"/>
  <c r="H1040"/>
  <c r="F1039" l="1"/>
  <c r="G1039" s="1"/>
  <c r="F1000"/>
  <c r="G1000" s="1"/>
  <c r="F222"/>
  <c r="G222" s="1"/>
  <c r="H1039" l="1"/>
  <c r="H1000"/>
  <c r="H222"/>
  <c r="F781" l="1"/>
  <c r="G781" s="1"/>
  <c r="H781" l="1"/>
  <c r="F461" l="1"/>
  <c r="G461" s="1"/>
  <c r="F272"/>
  <c r="G272" s="1"/>
  <c r="H461" l="1"/>
  <c r="H272"/>
  <c r="F1031" l="1"/>
  <c r="G1031" s="1"/>
  <c r="F1027"/>
  <c r="G1027" s="1"/>
  <c r="H1031" l="1"/>
  <c r="H1027"/>
  <c r="F1033" l="1"/>
  <c r="G1033" s="1"/>
  <c r="F1034"/>
  <c r="G1034" s="1"/>
  <c r="F1032"/>
  <c r="G1032" s="1"/>
  <c r="F1025"/>
  <c r="G1025" s="1"/>
  <c r="F1030"/>
  <c r="G1030" s="1"/>
  <c r="F1028"/>
  <c r="G1028" s="1"/>
  <c r="F1026"/>
  <c r="G1026" s="1"/>
  <c r="F1024"/>
  <c r="G1024" s="1"/>
  <c r="F1023"/>
  <c r="G1023" s="1"/>
  <c r="F1021"/>
  <c r="G1021" s="1"/>
  <c r="F1022"/>
  <c r="G1022" s="1"/>
  <c r="F595"/>
  <c r="G595" s="1"/>
  <c r="F302"/>
  <c r="G302" s="1"/>
  <c r="F1020"/>
  <c r="G1020" s="1"/>
  <c r="H1033" l="1"/>
  <c r="H1034"/>
  <c r="H1032"/>
  <c r="H1025"/>
  <c r="H1030"/>
  <c r="H1028"/>
  <c r="H1026"/>
  <c r="H1024"/>
  <c r="H1023"/>
  <c r="H1021"/>
  <c r="H1022"/>
  <c r="H595"/>
  <c r="H302"/>
  <c r="H1020"/>
  <c r="F331" l="1"/>
  <c r="G331" s="1"/>
  <c r="H331" l="1"/>
  <c r="F538" l="1"/>
  <c r="G538" s="1"/>
  <c r="F1019"/>
  <c r="G1019" s="1"/>
  <c r="F883"/>
  <c r="G883" s="1"/>
  <c r="F1018"/>
  <c r="G1018" s="1"/>
  <c r="F881"/>
  <c r="G881" s="1"/>
  <c r="F1017"/>
  <c r="G1017" s="1"/>
  <c r="F1016"/>
  <c r="G1016" s="1"/>
  <c r="F1015"/>
  <c r="G1015" s="1"/>
  <c r="F1014"/>
  <c r="G1014" s="1"/>
  <c r="F1013"/>
  <c r="G1013" s="1"/>
  <c r="F315"/>
  <c r="G315" s="1"/>
  <c r="F567"/>
  <c r="G567" s="1"/>
  <c r="H538" l="1"/>
  <c r="H1019"/>
  <c r="H883"/>
  <c r="H1018"/>
  <c r="H881"/>
  <c r="H1017"/>
  <c r="H1016"/>
  <c r="H1015"/>
  <c r="H1014"/>
  <c r="H1013"/>
  <c r="H315"/>
  <c r="H567"/>
  <c r="F1012" l="1"/>
  <c r="G1012" s="1"/>
  <c r="F66"/>
  <c r="G66" s="1"/>
  <c r="H1012" l="1"/>
  <c r="H66"/>
  <c r="F1011" l="1"/>
  <c r="G1011" s="1"/>
  <c r="H1011" l="1"/>
  <c r="F1010" l="1"/>
  <c r="G1010" s="1"/>
  <c r="F1009"/>
  <c r="G1009" s="1"/>
  <c r="F22"/>
  <c r="G22" s="1"/>
  <c r="F21"/>
  <c r="F1005"/>
  <c r="G1005" s="1"/>
  <c r="G21" l="1"/>
  <c r="H1010"/>
  <c r="H1009"/>
  <c r="H22"/>
  <c r="H21"/>
  <c r="H1005"/>
  <c r="F1004" l="1"/>
  <c r="G1004" s="1"/>
  <c r="F1003"/>
  <c r="G1003" s="1"/>
  <c r="H1004" l="1"/>
  <c r="H1003"/>
  <c r="F1002" l="1"/>
  <c r="G1002" s="1"/>
  <c r="F1001"/>
  <c r="G1001" s="1"/>
  <c r="H1002" l="1"/>
  <c r="H1001"/>
  <c r="F957"/>
  <c r="G957" s="1"/>
  <c r="F999"/>
  <c r="G999" s="1"/>
  <c r="F997"/>
  <c r="G997" s="1"/>
  <c r="F996"/>
  <c r="G996" s="1"/>
  <c r="F995"/>
  <c r="G995" s="1"/>
  <c r="F994"/>
  <c r="G994" s="1"/>
  <c r="H957" l="1"/>
  <c r="H999"/>
  <c r="H997"/>
  <c r="H996"/>
  <c r="H995"/>
  <c r="H994"/>
  <c r="F993"/>
  <c r="G993" s="1"/>
  <c r="F992"/>
  <c r="G992" s="1"/>
  <c r="F991"/>
  <c r="G991" s="1"/>
  <c r="F990"/>
  <c r="G990" s="1"/>
  <c r="F989"/>
  <c r="G989" s="1"/>
  <c r="F988"/>
  <c r="G988" s="1"/>
  <c r="F987"/>
  <c r="G987" s="1"/>
  <c r="F986"/>
  <c r="G986" s="1"/>
  <c r="F984"/>
  <c r="G984" s="1"/>
  <c r="F983"/>
  <c r="G983" s="1"/>
  <c r="F982"/>
  <c r="G982" s="1"/>
  <c r="F981"/>
  <c r="G981" s="1"/>
  <c r="F980"/>
  <c r="G980" s="1"/>
  <c r="F979"/>
  <c r="G979" s="1"/>
  <c r="F978"/>
  <c r="G978" s="1"/>
  <c r="F893"/>
  <c r="G893" s="1"/>
  <c r="F921"/>
  <c r="G921" s="1"/>
  <c r="F358"/>
  <c r="G358" s="1"/>
  <c r="F145"/>
  <c r="G145" s="1"/>
  <c r="F227"/>
  <c r="G227" s="1"/>
  <c r="H993" l="1"/>
  <c r="H992"/>
  <c r="H991"/>
  <c r="H990"/>
  <c r="H989"/>
  <c r="H988"/>
  <c r="H987"/>
  <c r="H986"/>
  <c r="H984"/>
  <c r="H983"/>
  <c r="H982"/>
  <c r="H981"/>
  <c r="H980"/>
  <c r="H979"/>
  <c r="H978"/>
  <c r="H893"/>
  <c r="H921"/>
  <c r="H358"/>
  <c r="H145"/>
  <c r="H227"/>
  <c r="F977"/>
  <c r="G977" s="1"/>
  <c r="F976"/>
  <c r="G976" s="1"/>
  <c r="H977" l="1"/>
  <c r="H976"/>
  <c r="F975" l="1"/>
  <c r="G975" s="1"/>
  <c r="F974"/>
  <c r="G974" s="1"/>
  <c r="F973"/>
  <c r="G973" s="1"/>
  <c r="F972"/>
  <c r="G972" s="1"/>
  <c r="H975" l="1"/>
  <c r="H974"/>
  <c r="H973"/>
  <c r="H972"/>
  <c r="F971" l="1"/>
  <c r="G971" s="1"/>
  <c r="F969"/>
  <c r="G969" s="1"/>
  <c r="F968"/>
  <c r="G968" s="1"/>
  <c r="F967"/>
  <c r="G967" s="1"/>
  <c r="F965"/>
  <c r="G965" s="1"/>
  <c r="F964"/>
  <c r="G964" s="1"/>
  <c r="H971" l="1"/>
  <c r="H969"/>
  <c r="H968"/>
  <c r="H967"/>
  <c r="H965"/>
  <c r="H964"/>
  <c r="F438" l="1"/>
  <c r="G438" s="1"/>
  <c r="F962"/>
  <c r="G962" s="1"/>
  <c r="F961"/>
  <c r="G961" s="1"/>
  <c r="F960"/>
  <c r="G960" s="1"/>
  <c r="F959"/>
  <c r="G959" s="1"/>
  <c r="F958"/>
  <c r="G958" s="1"/>
  <c r="F956"/>
  <c r="G956" s="1"/>
  <c r="F955"/>
  <c r="G955" s="1"/>
  <c r="H438" l="1"/>
  <c r="H962"/>
  <c r="H961"/>
  <c r="H960"/>
  <c r="H959"/>
  <c r="H958"/>
  <c r="H956"/>
  <c r="H955"/>
  <c r="F216"/>
  <c r="G216" s="1"/>
  <c r="F954"/>
  <c r="G954" s="1"/>
  <c r="F840"/>
  <c r="G840" s="1"/>
  <c r="F951"/>
  <c r="G951" s="1"/>
  <c r="F950"/>
  <c r="G950" s="1"/>
  <c r="F949"/>
  <c r="G949" s="1"/>
  <c r="H216" l="1"/>
  <c r="H954"/>
  <c r="H840"/>
  <c r="H951"/>
  <c r="H950"/>
  <c r="H949"/>
  <c r="F948" l="1"/>
  <c r="G948" s="1"/>
  <c r="F947"/>
  <c r="G947" s="1"/>
  <c r="F946"/>
  <c r="G946" s="1"/>
  <c r="F944"/>
  <c r="G944" s="1"/>
  <c r="M8" i="1"/>
  <c r="F943" i="3"/>
  <c r="G943" s="1"/>
  <c r="M7" i="1"/>
  <c r="F942" i="3"/>
  <c r="G942" s="1"/>
  <c r="M6" i="1"/>
  <c r="M5"/>
  <c r="M4"/>
  <c r="K5" i="11"/>
  <c r="K6"/>
  <c r="K7"/>
  <c r="K8"/>
  <c r="K9"/>
  <c r="K10"/>
  <c r="K11"/>
  <c r="K12"/>
  <c r="K13"/>
  <c r="K14"/>
  <c r="K15"/>
  <c r="K16"/>
  <c r="K4"/>
  <c r="F941" i="3"/>
  <c r="G941" s="1"/>
  <c r="F911"/>
  <c r="G911" s="1"/>
  <c r="H948" l="1"/>
  <c r="H947"/>
  <c r="H946"/>
  <c r="H944"/>
  <c r="H943"/>
  <c r="H942"/>
  <c r="H941"/>
  <c r="H911"/>
  <c r="F827"/>
  <c r="G827" s="1"/>
  <c r="H827" l="1"/>
  <c r="F940" l="1"/>
  <c r="G940" s="1"/>
  <c r="F913"/>
  <c r="G913" s="1"/>
  <c r="H940" l="1"/>
  <c r="H913"/>
  <c r="F939" l="1"/>
  <c r="G939" s="1"/>
  <c r="F938"/>
  <c r="G938" s="1"/>
  <c r="H939" l="1"/>
  <c r="H938"/>
  <c r="F822"/>
  <c r="G822" s="1"/>
  <c r="H822" l="1"/>
  <c r="F937" l="1"/>
  <c r="G937" s="1"/>
  <c r="H937" l="1"/>
  <c r="F67" l="1"/>
  <c r="G67" s="1"/>
  <c r="F39"/>
  <c r="G39" s="1"/>
  <c r="F936"/>
  <c r="G936" s="1"/>
  <c r="F925"/>
  <c r="G925" s="1"/>
  <c r="F934"/>
  <c r="G934" s="1"/>
  <c r="F932"/>
  <c r="G932" s="1"/>
  <c r="F778"/>
  <c r="G778" s="1"/>
  <c r="F902"/>
  <c r="G902" s="1"/>
  <c r="F931"/>
  <c r="G931" s="1"/>
  <c r="F929"/>
  <c r="G929" s="1"/>
  <c r="F927"/>
  <c r="G927" s="1"/>
  <c r="F928"/>
  <c r="G928" s="1"/>
  <c r="H67" l="1"/>
  <c r="H39"/>
  <c r="H936"/>
  <c r="H925"/>
  <c r="H934"/>
  <c r="H932"/>
  <c r="H778"/>
  <c r="H902"/>
  <c r="H931"/>
  <c r="H929"/>
  <c r="H927"/>
  <c r="H928"/>
  <c r="F926" l="1"/>
  <c r="G926" s="1"/>
  <c r="F924"/>
  <c r="G924" s="1"/>
  <c r="F923"/>
  <c r="G923" s="1"/>
  <c r="F417"/>
  <c r="G417" s="1"/>
  <c r="F780"/>
  <c r="G780" s="1"/>
  <c r="F922"/>
  <c r="G922" s="1"/>
  <c r="H926" l="1"/>
  <c r="H924"/>
  <c r="H923"/>
  <c r="H417"/>
  <c r="H780"/>
  <c r="H922"/>
  <c r="F920"/>
  <c r="G920" s="1"/>
  <c r="F772"/>
  <c r="G772" s="1"/>
  <c r="F919"/>
  <c r="G919" s="1"/>
  <c r="F918"/>
  <c r="G918" s="1"/>
  <c r="F916"/>
  <c r="G916" s="1"/>
  <c r="F915"/>
  <c r="G915" s="1"/>
  <c r="H920" l="1"/>
  <c r="H772"/>
  <c r="H919"/>
  <c r="H918"/>
  <c r="H916"/>
  <c r="H915"/>
  <c r="F701" l="1"/>
  <c r="G701" s="1"/>
  <c r="F914"/>
  <c r="G914" s="1"/>
  <c r="F173"/>
  <c r="G173" s="1"/>
  <c r="F912"/>
  <c r="G912" s="1"/>
  <c r="F851"/>
  <c r="G851" s="1"/>
  <c r="F910"/>
  <c r="G910" s="1"/>
  <c r="F364"/>
  <c r="G364" s="1"/>
  <c r="F900"/>
  <c r="G900" s="1"/>
  <c r="F869"/>
  <c r="G869" s="1"/>
  <c r="F873"/>
  <c r="G873" s="1"/>
  <c r="F909"/>
  <c r="G909" s="1"/>
  <c r="F908"/>
  <c r="G908" s="1"/>
  <c r="F907"/>
  <c r="G907" s="1"/>
  <c r="F896"/>
  <c r="G896" s="1"/>
  <c r="F906"/>
  <c r="G906" s="1"/>
  <c r="F904"/>
  <c r="G904" s="1"/>
  <c r="F903"/>
  <c r="G903" s="1"/>
  <c r="F901"/>
  <c r="G901" s="1"/>
  <c r="F899"/>
  <c r="G899" s="1"/>
  <c r="F505"/>
  <c r="G505" s="1"/>
  <c r="F898"/>
  <c r="G898" s="1"/>
  <c r="F897"/>
  <c r="G897" s="1"/>
  <c r="F895"/>
  <c r="G895" s="1"/>
  <c r="H701" l="1"/>
  <c r="H914"/>
  <c r="H173"/>
  <c r="H912"/>
  <c r="H851"/>
  <c r="H910"/>
  <c r="H364"/>
  <c r="H900"/>
  <c r="H869"/>
  <c r="H873"/>
  <c r="H909"/>
  <c r="H908"/>
  <c r="H907"/>
  <c r="H896"/>
  <c r="H906"/>
  <c r="H904"/>
  <c r="H903"/>
  <c r="H901"/>
  <c r="H899"/>
  <c r="H505"/>
  <c r="H898"/>
  <c r="H897"/>
  <c r="H895"/>
  <c r="F894"/>
  <c r="G894" s="1"/>
  <c r="F892"/>
  <c r="G892" s="1"/>
  <c r="F891"/>
  <c r="G891" s="1"/>
  <c r="H894" l="1"/>
  <c r="H892"/>
  <c r="H891"/>
  <c r="F889" l="1"/>
  <c r="G889" s="1"/>
  <c r="F888"/>
  <c r="G888" s="1"/>
  <c r="F887"/>
  <c r="G887" s="1"/>
  <c r="F846"/>
  <c r="G846" s="1"/>
  <c r="F886"/>
  <c r="G886" s="1"/>
  <c r="F885"/>
  <c r="G885" s="1"/>
  <c r="F884"/>
  <c r="G884" s="1"/>
  <c r="F882"/>
  <c r="G882" s="1"/>
  <c r="F880"/>
  <c r="G880" s="1"/>
  <c r="F189"/>
  <c r="G189" s="1"/>
  <c r="H889" l="1"/>
  <c r="H888"/>
  <c r="H887"/>
  <c r="H846"/>
  <c r="H886"/>
  <c r="H885"/>
  <c r="H884"/>
  <c r="H882"/>
  <c r="H880"/>
  <c r="H189"/>
  <c r="F719" l="1"/>
  <c r="G719" s="1"/>
  <c r="F879"/>
  <c r="G879" s="1"/>
  <c r="F797"/>
  <c r="G797" s="1"/>
  <c r="F401"/>
  <c r="G401" s="1"/>
  <c r="H719" l="1"/>
  <c r="H879"/>
  <c r="H797"/>
  <c r="H401"/>
  <c r="F821" l="1"/>
  <c r="G821" s="1"/>
  <c r="H821" l="1"/>
  <c r="F878" l="1"/>
  <c r="G878" s="1"/>
  <c r="F876"/>
  <c r="G876" s="1"/>
  <c r="F877"/>
  <c r="G877" s="1"/>
  <c r="F875"/>
  <c r="G875" s="1"/>
  <c r="F874"/>
  <c r="G874" s="1"/>
  <c r="F872"/>
  <c r="G872" s="1"/>
  <c r="F136"/>
  <c r="G136" s="1"/>
  <c r="H878" l="1"/>
  <c r="H876"/>
  <c r="H877"/>
  <c r="H875"/>
  <c r="H874"/>
  <c r="H872"/>
  <c r="H136"/>
  <c r="F871"/>
  <c r="G871" s="1"/>
  <c r="F870"/>
  <c r="G870" s="1"/>
  <c r="F868"/>
  <c r="G868" s="1"/>
  <c r="F867"/>
  <c r="G867" s="1"/>
  <c r="F866"/>
  <c r="G866" s="1"/>
  <c r="F865"/>
  <c r="G865" s="1"/>
  <c r="F864"/>
  <c r="G864" s="1"/>
  <c r="F863"/>
  <c r="G863" s="1"/>
  <c r="F732"/>
  <c r="G732" s="1"/>
  <c r="F731"/>
  <c r="G731" s="1"/>
  <c r="F706"/>
  <c r="G706" s="1"/>
  <c r="F861"/>
  <c r="G861" s="1"/>
  <c r="F862"/>
  <c r="G862" s="1"/>
  <c r="F860"/>
  <c r="G860" s="1"/>
  <c r="F430"/>
  <c r="G430" s="1"/>
  <c r="H871" l="1"/>
  <c r="H870"/>
  <c r="H868"/>
  <c r="H867"/>
  <c r="H866"/>
  <c r="H865"/>
  <c r="H864"/>
  <c r="H863"/>
  <c r="H732"/>
  <c r="H731"/>
  <c r="H706"/>
  <c r="H861"/>
  <c r="H862"/>
  <c r="H860"/>
  <c r="H430"/>
  <c r="F857" l="1"/>
  <c r="G857" s="1"/>
  <c r="F858"/>
  <c r="G858" s="1"/>
  <c r="F859"/>
  <c r="G859" s="1"/>
  <c r="F856"/>
  <c r="G856" s="1"/>
  <c r="F792"/>
  <c r="G792" s="1"/>
  <c r="F395"/>
  <c r="G395" s="1"/>
  <c r="H857" l="1"/>
  <c r="H858"/>
  <c r="H859"/>
  <c r="H856"/>
  <c r="H792"/>
  <c r="H395"/>
  <c r="F855"/>
  <c r="G855" s="1"/>
  <c r="F854"/>
  <c r="G854" s="1"/>
  <c r="F852"/>
  <c r="G852" s="1"/>
  <c r="F540"/>
  <c r="G540" s="1"/>
  <c r="F849"/>
  <c r="G849" s="1"/>
  <c r="F850"/>
  <c r="G850" s="1"/>
  <c r="F237"/>
  <c r="G237" s="1"/>
  <c r="H855" l="1"/>
  <c r="H854"/>
  <c r="H852"/>
  <c r="H540"/>
  <c r="H849"/>
  <c r="H850"/>
  <c r="H237"/>
  <c r="F848" l="1"/>
  <c r="G848" s="1"/>
  <c r="H848" l="1"/>
  <c r="F847"/>
  <c r="G847" s="1"/>
  <c r="F139"/>
  <c r="G139" s="1"/>
  <c r="F845"/>
  <c r="G845" s="1"/>
  <c r="H847" l="1"/>
  <c r="H139"/>
  <c r="H845"/>
  <c r="F844"/>
  <c r="G844" s="1"/>
  <c r="F176"/>
  <c r="G176" s="1"/>
  <c r="F843"/>
  <c r="G843" s="1"/>
  <c r="F839"/>
  <c r="G839" s="1"/>
  <c r="F838"/>
  <c r="G838" s="1"/>
  <c r="F425"/>
  <c r="G425" s="1"/>
  <c r="H844" l="1"/>
  <c r="H176"/>
  <c r="H843"/>
  <c r="H839"/>
  <c r="H838"/>
  <c r="H425"/>
  <c r="F96"/>
  <c r="G96" s="1"/>
  <c r="F97"/>
  <c r="G97" s="1"/>
  <c r="F837"/>
  <c r="G837" s="1"/>
  <c r="F836"/>
  <c r="G836" s="1"/>
  <c r="F835"/>
  <c r="G835" s="1"/>
  <c r="F834"/>
  <c r="G834" s="1"/>
  <c r="F833"/>
  <c r="G833" s="1"/>
  <c r="F111"/>
  <c r="G111" s="1"/>
  <c r="H96" l="1"/>
  <c r="H97"/>
  <c r="H837"/>
  <c r="H836"/>
  <c r="H835"/>
  <c r="H834"/>
  <c r="H833"/>
  <c r="H111"/>
  <c r="F832" l="1"/>
  <c r="G832" s="1"/>
  <c r="F831"/>
  <c r="G831" s="1"/>
  <c r="F830"/>
  <c r="G830" s="1"/>
  <c r="F829"/>
  <c r="G829" s="1"/>
  <c r="H832" l="1"/>
  <c r="H831"/>
  <c r="H830"/>
  <c r="H829"/>
  <c r="F828"/>
  <c r="G828" s="1"/>
  <c r="F790"/>
  <c r="G790" s="1"/>
  <c r="F826"/>
  <c r="G826" s="1"/>
  <c r="F825"/>
  <c r="G825" s="1"/>
  <c r="F824"/>
  <c r="G824" s="1"/>
  <c r="F823"/>
  <c r="G823" s="1"/>
  <c r="F820"/>
  <c r="G820" s="1"/>
  <c r="H828" l="1"/>
  <c r="H790"/>
  <c r="H826"/>
  <c r="H825"/>
  <c r="H824"/>
  <c r="H823"/>
  <c r="H820"/>
  <c r="F818"/>
  <c r="G818" s="1"/>
  <c r="F819"/>
  <c r="G819" s="1"/>
  <c r="F815"/>
  <c r="G815" s="1"/>
  <c r="F816"/>
  <c r="G816" s="1"/>
  <c r="F817"/>
  <c r="G817" s="1"/>
  <c r="F814"/>
  <c r="G814" s="1"/>
  <c r="F813"/>
  <c r="G813" s="1"/>
  <c r="H818" l="1"/>
  <c r="H819"/>
  <c r="H817"/>
  <c r="H816"/>
  <c r="H815"/>
  <c r="H814"/>
  <c r="H813"/>
  <c r="F812"/>
  <c r="G812" s="1"/>
  <c r="H812" l="1"/>
  <c r="F811"/>
  <c r="G811" s="1"/>
  <c r="F810"/>
  <c r="G810" s="1"/>
  <c r="F809"/>
  <c r="G809" s="1"/>
  <c r="F440"/>
  <c r="G440" s="1"/>
  <c r="F737"/>
  <c r="G737" s="1"/>
  <c r="F808"/>
  <c r="G808" s="1"/>
  <c r="F807"/>
  <c r="G807" s="1"/>
  <c r="F805"/>
  <c r="G805" s="1"/>
  <c r="F804"/>
  <c r="G804" s="1"/>
  <c r="F803"/>
  <c r="G803" s="1"/>
  <c r="F802"/>
  <c r="G802" s="1"/>
  <c r="F801"/>
  <c r="G801" s="1"/>
  <c r="F786"/>
  <c r="G786" s="1"/>
  <c r="F800"/>
  <c r="G800" s="1"/>
  <c r="F799"/>
  <c r="G799" s="1"/>
  <c r="F427"/>
  <c r="G427" s="1"/>
  <c r="F798"/>
  <c r="G798" s="1"/>
  <c r="H811" l="1"/>
  <c r="H810"/>
  <c r="H809"/>
  <c r="H440"/>
  <c r="H737"/>
  <c r="H808"/>
  <c r="H807"/>
  <c r="H805"/>
  <c r="H804"/>
  <c r="H803"/>
  <c r="H802"/>
  <c r="H801"/>
  <c r="H786"/>
  <c r="H800"/>
  <c r="H799"/>
  <c r="H427"/>
  <c r="H798"/>
  <c r="F794"/>
  <c r="G794" s="1"/>
  <c r="H794" l="1"/>
  <c r="F601" l="1"/>
  <c r="G601" s="1"/>
  <c r="H601" l="1"/>
  <c r="F774"/>
  <c r="G774" s="1"/>
  <c r="F796"/>
  <c r="G796" s="1"/>
  <c r="H774" l="1"/>
  <c r="H796"/>
  <c r="F793" l="1"/>
  <c r="G793" s="1"/>
  <c r="F769"/>
  <c r="G769" s="1"/>
  <c r="F791"/>
  <c r="G791" s="1"/>
  <c r="H793" l="1"/>
  <c r="H769"/>
  <c r="H791"/>
  <c r="F789"/>
  <c r="G789" s="1"/>
  <c r="F788"/>
  <c r="G788" s="1"/>
  <c r="F18"/>
  <c r="G18" s="1"/>
  <c r="F19"/>
  <c r="G19" s="1"/>
  <c r="F20"/>
  <c r="G20" s="1"/>
  <c r="F23"/>
  <c r="G23" s="1"/>
  <c r="F24"/>
  <c r="G24" s="1"/>
  <c r="F26"/>
  <c r="G26" s="1"/>
  <c r="F27"/>
  <c r="G27" s="1"/>
  <c r="F28"/>
  <c r="G28" s="1"/>
  <c r="F29"/>
  <c r="G29" s="1"/>
  <c r="F30"/>
  <c r="G30" s="1"/>
  <c r="F31"/>
  <c r="G31" s="1"/>
  <c r="F32"/>
  <c r="G32" s="1"/>
  <c r="F33"/>
  <c r="G33" s="1"/>
  <c r="F34"/>
  <c r="G34" s="1"/>
  <c r="F35"/>
  <c r="G35" s="1"/>
  <c r="F36"/>
  <c r="G36" s="1"/>
  <c r="F37"/>
  <c r="G37" s="1"/>
  <c r="F40"/>
  <c r="G40" s="1"/>
  <c r="F41"/>
  <c r="G41" s="1"/>
  <c r="F43"/>
  <c r="G43" s="1"/>
  <c r="F44"/>
  <c r="G44" s="1"/>
  <c r="F45"/>
  <c r="G45" s="1"/>
  <c r="F46"/>
  <c r="G46" s="1"/>
  <c r="F47"/>
  <c r="G47" s="1"/>
  <c r="F48"/>
  <c r="G48" s="1"/>
  <c r="F49"/>
  <c r="G49" s="1"/>
  <c r="F50"/>
  <c r="G50" s="1"/>
  <c r="F51"/>
  <c r="G51" s="1"/>
  <c r="F52"/>
  <c r="G52" s="1"/>
  <c r="F53"/>
  <c r="G53" s="1"/>
  <c r="F54"/>
  <c r="G54" s="1"/>
  <c r="F55"/>
  <c r="G55" s="1"/>
  <c r="F56"/>
  <c r="G56" s="1"/>
  <c r="F57"/>
  <c r="G57" s="1"/>
  <c r="F58"/>
  <c r="G58" s="1"/>
  <c r="F59"/>
  <c r="G59" s="1"/>
  <c r="F60"/>
  <c r="G60" s="1"/>
  <c r="F62"/>
  <c r="G62" s="1"/>
  <c r="F63"/>
  <c r="G63" s="1"/>
  <c r="F68"/>
  <c r="G68" s="1"/>
  <c r="F69"/>
  <c r="G69" s="1"/>
  <c r="F70"/>
  <c r="G70" s="1"/>
  <c r="F71"/>
  <c r="G71" s="1"/>
  <c r="F72"/>
  <c r="G72" s="1"/>
  <c r="F73"/>
  <c r="G73" s="1"/>
  <c r="F74"/>
  <c r="G74" s="1"/>
  <c r="F75"/>
  <c r="G75" s="1"/>
  <c r="F76"/>
  <c r="G76" s="1"/>
  <c r="F77"/>
  <c r="G77" s="1"/>
  <c r="F78"/>
  <c r="G78" s="1"/>
  <c r="F79"/>
  <c r="G79" s="1"/>
  <c r="F80"/>
  <c r="G80" s="1"/>
  <c r="F81"/>
  <c r="G81" s="1"/>
  <c r="F82"/>
  <c r="G82" s="1"/>
  <c r="F83"/>
  <c r="G83" s="1"/>
  <c r="F84"/>
  <c r="G84" s="1"/>
  <c r="F85"/>
  <c r="G85" s="1"/>
  <c r="F86"/>
  <c r="G86" s="1"/>
  <c r="F87"/>
  <c r="G87" s="1"/>
  <c r="F88"/>
  <c r="G88" s="1"/>
  <c r="F89"/>
  <c r="G89" s="1"/>
  <c r="F90"/>
  <c r="G90" s="1"/>
  <c r="F91"/>
  <c r="G91" s="1"/>
  <c r="F92"/>
  <c r="G92" s="1"/>
  <c r="F93"/>
  <c r="G93" s="1"/>
  <c r="F94"/>
  <c r="G94" s="1"/>
  <c r="F95"/>
  <c r="G95" s="1"/>
  <c r="F99"/>
  <c r="G99" s="1"/>
  <c r="F100"/>
  <c r="G100" s="1"/>
  <c r="F101"/>
  <c r="G101" s="1"/>
  <c r="F102"/>
  <c r="G102" s="1"/>
  <c r="F103"/>
  <c r="G103" s="1"/>
  <c r="F104"/>
  <c r="G104" s="1"/>
  <c r="F105"/>
  <c r="G105" s="1"/>
  <c r="F106"/>
  <c r="G106" s="1"/>
  <c r="F107"/>
  <c r="G107" s="1"/>
  <c r="F108"/>
  <c r="G108" s="1"/>
  <c r="F109"/>
  <c r="G109" s="1"/>
  <c r="F110"/>
  <c r="G110" s="1"/>
  <c r="F112"/>
  <c r="G112" s="1"/>
  <c r="F113"/>
  <c r="G113" s="1"/>
  <c r="F114"/>
  <c r="G114" s="1"/>
  <c r="F115"/>
  <c r="G115" s="1"/>
  <c r="F116"/>
  <c r="G116" s="1"/>
  <c r="F117"/>
  <c r="G117" s="1"/>
  <c r="F118"/>
  <c r="G118" s="1"/>
  <c r="F119"/>
  <c r="G119" s="1"/>
  <c r="F120"/>
  <c r="G120" s="1"/>
  <c r="F121"/>
  <c r="G121" s="1"/>
  <c r="F122"/>
  <c r="G122" s="1"/>
  <c r="F123"/>
  <c r="G123" s="1"/>
  <c r="F124"/>
  <c r="G124" s="1"/>
  <c r="F126"/>
  <c r="G126" s="1"/>
  <c r="F127"/>
  <c r="G127" s="1"/>
  <c r="F128"/>
  <c r="G128" s="1"/>
  <c r="F129"/>
  <c r="G129" s="1"/>
  <c r="F130"/>
  <c r="G130" s="1"/>
  <c r="F131"/>
  <c r="G131" s="1"/>
  <c r="F132"/>
  <c r="G132" s="1"/>
  <c r="F133"/>
  <c r="G133" s="1"/>
  <c r="F134"/>
  <c r="G134" s="1"/>
  <c r="F135"/>
  <c r="G135" s="1"/>
  <c r="F137"/>
  <c r="G137" s="1"/>
  <c r="F138"/>
  <c r="G138" s="1"/>
  <c r="F140"/>
  <c r="G140" s="1"/>
  <c r="F141"/>
  <c r="G141" s="1"/>
  <c r="F142"/>
  <c r="G142" s="1"/>
  <c r="G143"/>
  <c r="G144"/>
  <c r="F146"/>
  <c r="G146" s="1"/>
  <c r="F147"/>
  <c r="G147" s="1"/>
  <c r="F148"/>
  <c r="G148" s="1"/>
  <c r="F149"/>
  <c r="G149" s="1"/>
  <c r="F150"/>
  <c r="G150" s="1"/>
  <c r="F151"/>
  <c r="G151" s="1"/>
  <c r="F152"/>
  <c r="G152" s="1"/>
  <c r="F153"/>
  <c r="G153" s="1"/>
  <c r="F154"/>
  <c r="G154" s="1"/>
  <c r="F155"/>
  <c r="G155" s="1"/>
  <c r="F156"/>
  <c r="G156" s="1"/>
  <c r="F157"/>
  <c r="G157" s="1"/>
  <c r="F158"/>
  <c r="G158" s="1"/>
  <c r="F159"/>
  <c r="G159" s="1"/>
  <c r="F161"/>
  <c r="G161" s="1"/>
  <c r="F162"/>
  <c r="G162" s="1"/>
  <c r="F163"/>
  <c r="G163" s="1"/>
  <c r="F164"/>
  <c r="G164" s="1"/>
  <c r="F165"/>
  <c r="G165" s="1"/>
  <c r="F166"/>
  <c r="G166" s="1"/>
  <c r="F167"/>
  <c r="G167" s="1"/>
  <c r="F168"/>
  <c r="G168" s="1"/>
  <c r="F169"/>
  <c r="G169" s="1"/>
  <c r="F170"/>
  <c r="G170" s="1"/>
  <c r="F172"/>
  <c r="G172" s="1"/>
  <c r="F175"/>
  <c r="G175" s="1"/>
  <c r="F177"/>
  <c r="G177" s="1"/>
  <c r="F178"/>
  <c r="G178" s="1"/>
  <c r="F179"/>
  <c r="G179" s="1"/>
  <c r="F180"/>
  <c r="G180" s="1"/>
  <c r="F181"/>
  <c r="G181" s="1"/>
  <c r="F182"/>
  <c r="G182" s="1"/>
  <c r="F183"/>
  <c r="G183" s="1"/>
  <c r="F184"/>
  <c r="G184" s="1"/>
  <c r="F185"/>
  <c r="G185" s="1"/>
  <c r="F186"/>
  <c r="G186" s="1"/>
  <c r="F187"/>
  <c r="G187" s="1"/>
  <c r="F188"/>
  <c r="G188" s="1"/>
  <c r="F190"/>
  <c r="G190" s="1"/>
  <c r="F192"/>
  <c r="G192" s="1"/>
  <c r="F193"/>
  <c r="G193" s="1"/>
  <c r="F194"/>
  <c r="G194" s="1"/>
  <c r="F195"/>
  <c r="G195" s="1"/>
  <c r="F196"/>
  <c r="G196" s="1"/>
  <c r="F197"/>
  <c r="G197" s="1"/>
  <c r="F198"/>
  <c r="G198" s="1"/>
  <c r="F199"/>
  <c r="G199" s="1"/>
  <c r="F201"/>
  <c r="G201" s="1"/>
  <c r="F202"/>
  <c r="G202" s="1"/>
  <c r="F204"/>
  <c r="G204" s="1"/>
  <c r="F205"/>
  <c r="G205" s="1"/>
  <c r="F206"/>
  <c r="G206" s="1"/>
  <c r="F207"/>
  <c r="G207" s="1"/>
  <c r="F208"/>
  <c r="G208" s="1"/>
  <c r="F209"/>
  <c r="G209" s="1"/>
  <c r="F210"/>
  <c r="G210" s="1"/>
  <c r="F211"/>
  <c r="G211" s="1"/>
  <c r="F212"/>
  <c r="G212" s="1"/>
  <c r="F213"/>
  <c r="G213" s="1"/>
  <c r="F214"/>
  <c r="G214" s="1"/>
  <c r="F215"/>
  <c r="G215" s="1"/>
  <c r="F217"/>
  <c r="G217" s="1"/>
  <c r="F218"/>
  <c r="G218" s="1"/>
  <c r="F219"/>
  <c r="G219" s="1"/>
  <c r="F220"/>
  <c r="G220" s="1"/>
  <c r="F221"/>
  <c r="G221" s="1"/>
  <c r="F223"/>
  <c r="G223" s="1"/>
  <c r="F224"/>
  <c r="G224" s="1"/>
  <c r="F225"/>
  <c r="G225" s="1"/>
  <c r="F226"/>
  <c r="G226" s="1"/>
  <c r="F228"/>
  <c r="G228" s="1"/>
  <c r="F229"/>
  <c r="G229" s="1"/>
  <c r="F230"/>
  <c r="G230" s="1"/>
  <c r="F231"/>
  <c r="G231" s="1"/>
  <c r="F232"/>
  <c r="G232" s="1"/>
  <c r="F233"/>
  <c r="G233" s="1"/>
  <c r="F235"/>
  <c r="G235" s="1"/>
  <c r="F236"/>
  <c r="G236" s="1"/>
  <c r="F238"/>
  <c r="G238" s="1"/>
  <c r="F239"/>
  <c r="G239" s="1"/>
  <c r="F240"/>
  <c r="G240" s="1"/>
  <c r="F241"/>
  <c r="G241" s="1"/>
  <c r="F242"/>
  <c r="G242" s="1"/>
  <c r="F243"/>
  <c r="G243" s="1"/>
  <c r="F244"/>
  <c r="G244" s="1"/>
  <c r="F245"/>
  <c r="G245" s="1"/>
  <c r="F246"/>
  <c r="G246" s="1"/>
  <c r="F247"/>
  <c r="G247" s="1"/>
  <c r="F248"/>
  <c r="G248" s="1"/>
  <c r="F249"/>
  <c r="G249" s="1"/>
  <c r="F250"/>
  <c r="G250" s="1"/>
  <c r="F251"/>
  <c r="G251" s="1"/>
  <c r="F252"/>
  <c r="G252" s="1"/>
  <c r="F253"/>
  <c r="G253" s="1"/>
  <c r="F254"/>
  <c r="G254" s="1"/>
  <c r="F255"/>
  <c r="G255" s="1"/>
  <c r="F256"/>
  <c r="G256" s="1"/>
  <c r="F257"/>
  <c r="G257" s="1"/>
  <c r="F258"/>
  <c r="G258" s="1"/>
  <c r="F259"/>
  <c r="G259" s="1"/>
  <c r="F260"/>
  <c r="G260" s="1"/>
  <c r="F261"/>
  <c r="G261" s="1"/>
  <c r="F262"/>
  <c r="G262" s="1"/>
  <c r="F263"/>
  <c r="G263" s="1"/>
  <c r="F264"/>
  <c r="G264" s="1"/>
  <c r="F265"/>
  <c r="G265" s="1"/>
  <c r="F266"/>
  <c r="G266" s="1"/>
  <c r="F267"/>
  <c r="G267" s="1"/>
  <c r="F268"/>
  <c r="G268" s="1"/>
  <c r="F269"/>
  <c r="G269" s="1"/>
  <c r="F270"/>
  <c r="G270" s="1"/>
  <c r="F271"/>
  <c r="G271" s="1"/>
  <c r="F273"/>
  <c r="G273" s="1"/>
  <c r="F274"/>
  <c r="G274" s="1"/>
  <c r="F276"/>
  <c r="G276" s="1"/>
  <c r="F277"/>
  <c r="G277" s="1"/>
  <c r="F278"/>
  <c r="G278" s="1"/>
  <c r="F279"/>
  <c r="G279" s="1"/>
  <c r="F281"/>
  <c r="G281" s="1"/>
  <c r="F282"/>
  <c r="G282" s="1"/>
  <c r="F283"/>
  <c r="G283" s="1"/>
  <c r="F284"/>
  <c r="G284" s="1"/>
  <c r="F285"/>
  <c r="G285" s="1"/>
  <c r="F286"/>
  <c r="G286" s="1"/>
  <c r="F287"/>
  <c r="G287" s="1"/>
  <c r="F288"/>
  <c r="G288" s="1"/>
  <c r="F289"/>
  <c r="G289" s="1"/>
  <c r="F290"/>
  <c r="G290" s="1"/>
  <c r="F291"/>
  <c r="G291" s="1"/>
  <c r="F292"/>
  <c r="G292" s="1"/>
  <c r="F293"/>
  <c r="G293" s="1"/>
  <c r="F294"/>
  <c r="G294" s="1"/>
  <c r="F295"/>
  <c r="G295" s="1"/>
  <c r="F296"/>
  <c r="G296" s="1"/>
  <c r="F297"/>
  <c r="G297" s="1"/>
  <c r="F298"/>
  <c r="G298" s="1"/>
  <c r="F299"/>
  <c r="G299" s="1"/>
  <c r="F301"/>
  <c r="G301" s="1"/>
  <c r="F303"/>
  <c r="G303" s="1"/>
  <c r="F304"/>
  <c r="G304" s="1"/>
  <c r="F305"/>
  <c r="G305" s="1"/>
  <c r="F306"/>
  <c r="G306" s="1"/>
  <c r="F307"/>
  <c r="G307" s="1"/>
  <c r="F308"/>
  <c r="G308" s="1"/>
  <c r="F309"/>
  <c r="G309" s="1"/>
  <c r="F310"/>
  <c r="G310" s="1"/>
  <c r="F311"/>
  <c r="G311" s="1"/>
  <c r="F312"/>
  <c r="G312" s="1"/>
  <c r="F313"/>
  <c r="G313" s="1"/>
  <c r="F314"/>
  <c r="G314" s="1"/>
  <c r="F316"/>
  <c r="G316" s="1"/>
  <c r="F317"/>
  <c r="G317" s="1"/>
  <c r="F318"/>
  <c r="G318" s="1"/>
  <c r="F319"/>
  <c r="G319" s="1"/>
  <c r="F320"/>
  <c r="G320" s="1"/>
  <c r="F321"/>
  <c r="G321" s="1"/>
  <c r="F322"/>
  <c r="G322" s="1"/>
  <c r="F323"/>
  <c r="G323" s="1"/>
  <c r="F324"/>
  <c r="G324" s="1"/>
  <c r="F325"/>
  <c r="G325" s="1"/>
  <c r="F326"/>
  <c r="G326" s="1"/>
  <c r="F327"/>
  <c r="G327" s="1"/>
  <c r="F328"/>
  <c r="G328" s="1"/>
  <c r="F329"/>
  <c r="G329" s="1"/>
  <c r="F330"/>
  <c r="G330" s="1"/>
  <c r="F332"/>
  <c r="G332" s="1"/>
  <c r="F333"/>
  <c r="G333" s="1"/>
  <c r="F334"/>
  <c r="G334" s="1"/>
  <c r="F335"/>
  <c r="G335" s="1"/>
  <c r="F336"/>
  <c r="G336" s="1"/>
  <c r="F337"/>
  <c r="G337" s="1"/>
  <c r="F338"/>
  <c r="G338" s="1"/>
  <c r="F339"/>
  <c r="G339" s="1"/>
  <c r="F340"/>
  <c r="G340" s="1"/>
  <c r="F341"/>
  <c r="G341" s="1"/>
  <c r="F342"/>
  <c r="G342" s="1"/>
  <c r="F343"/>
  <c r="G343" s="1"/>
  <c r="F344"/>
  <c r="G344" s="1"/>
  <c r="F345"/>
  <c r="G345" s="1"/>
  <c r="F346"/>
  <c r="G346" s="1"/>
  <c r="F347"/>
  <c r="G347" s="1"/>
  <c r="F348"/>
  <c r="G348" s="1"/>
  <c r="F349"/>
  <c r="G349" s="1"/>
  <c r="F350"/>
  <c r="G350" s="1"/>
  <c r="F351"/>
  <c r="G351" s="1"/>
  <c r="F352"/>
  <c r="G352" s="1"/>
  <c r="F353"/>
  <c r="G353" s="1"/>
  <c r="F354"/>
  <c r="G354" s="1"/>
  <c r="F355"/>
  <c r="G355" s="1"/>
  <c r="F356"/>
  <c r="G356" s="1"/>
  <c r="F357"/>
  <c r="G357" s="1"/>
  <c r="F360"/>
  <c r="G360" s="1"/>
  <c r="F361"/>
  <c r="G361" s="1"/>
  <c r="F362"/>
  <c r="G362" s="1"/>
  <c r="F363"/>
  <c r="G363" s="1"/>
  <c r="F365"/>
  <c r="G365" s="1"/>
  <c r="F366"/>
  <c r="G366" s="1"/>
  <c r="F367"/>
  <c r="G367" s="1"/>
  <c r="F368"/>
  <c r="G368" s="1"/>
  <c r="F369"/>
  <c r="G369" s="1"/>
  <c r="F370"/>
  <c r="G370" s="1"/>
  <c r="F371"/>
  <c r="G371" s="1"/>
  <c r="F372"/>
  <c r="G372" s="1"/>
  <c r="F373"/>
  <c r="G373" s="1"/>
  <c r="F374"/>
  <c r="G374" s="1"/>
  <c r="F375"/>
  <c r="G375" s="1"/>
  <c r="F376"/>
  <c r="G376" s="1"/>
  <c r="F377"/>
  <c r="G377" s="1"/>
  <c r="F378"/>
  <c r="G378" s="1"/>
  <c r="F379"/>
  <c r="G379" s="1"/>
  <c r="F380"/>
  <c r="G380" s="1"/>
  <c r="F381"/>
  <c r="G381" s="1"/>
  <c r="F382"/>
  <c r="G382" s="1"/>
  <c r="F383"/>
  <c r="G383" s="1"/>
  <c r="F384"/>
  <c r="G384" s="1"/>
  <c r="F385"/>
  <c r="G385" s="1"/>
  <c r="F386"/>
  <c r="G386" s="1"/>
  <c r="F387"/>
  <c r="G387" s="1"/>
  <c r="F388"/>
  <c r="G388" s="1"/>
  <c r="F389"/>
  <c r="G389" s="1"/>
  <c r="F390"/>
  <c r="G390" s="1"/>
  <c r="F391"/>
  <c r="G391" s="1"/>
  <c r="F393"/>
  <c r="G393" s="1"/>
  <c r="F394"/>
  <c r="G394" s="1"/>
  <c r="F396"/>
  <c r="G396" s="1"/>
  <c r="F397"/>
  <c r="G397" s="1"/>
  <c r="F398"/>
  <c r="G398" s="1"/>
  <c r="F399"/>
  <c r="G399" s="1"/>
  <c r="F400"/>
  <c r="G400" s="1"/>
  <c r="F402"/>
  <c r="G402" s="1"/>
  <c r="F403"/>
  <c r="G403" s="1"/>
  <c r="F404"/>
  <c r="G404" s="1"/>
  <c r="F405"/>
  <c r="G405" s="1"/>
  <c r="F406"/>
  <c r="G406" s="1"/>
  <c r="F407"/>
  <c r="G407" s="1"/>
  <c r="F408"/>
  <c r="G408" s="1"/>
  <c r="F409"/>
  <c r="G409" s="1"/>
  <c r="F410"/>
  <c r="G410" s="1"/>
  <c r="F411"/>
  <c r="G411" s="1"/>
  <c r="F412"/>
  <c r="G412" s="1"/>
  <c r="F413"/>
  <c r="G413" s="1"/>
  <c r="F414"/>
  <c r="G414" s="1"/>
  <c r="F415"/>
  <c r="G415" s="1"/>
  <c r="F416"/>
  <c r="G416" s="1"/>
  <c r="F418"/>
  <c r="G418" s="1"/>
  <c r="F419"/>
  <c r="G419" s="1"/>
  <c r="F420"/>
  <c r="G420" s="1"/>
  <c r="F421"/>
  <c r="G421" s="1"/>
  <c r="F422"/>
  <c r="G422" s="1"/>
  <c r="F423"/>
  <c r="G423" s="1"/>
  <c r="F424"/>
  <c r="G424" s="1"/>
  <c r="F428"/>
  <c r="G428" s="1"/>
  <c r="F429"/>
  <c r="G429" s="1"/>
  <c r="F431"/>
  <c r="G431" s="1"/>
  <c r="F432"/>
  <c r="G432" s="1"/>
  <c r="F433"/>
  <c r="G433" s="1"/>
  <c r="F434"/>
  <c r="G434" s="1"/>
  <c r="F435"/>
  <c r="G435" s="1"/>
  <c r="F436"/>
  <c r="G436" s="1"/>
  <c r="F437"/>
  <c r="G437" s="1"/>
  <c r="F439"/>
  <c r="G439" s="1"/>
  <c r="F441"/>
  <c r="G441" s="1"/>
  <c r="F442"/>
  <c r="G442" s="1"/>
  <c r="F443"/>
  <c r="G443" s="1"/>
  <c r="F444"/>
  <c r="G444" s="1"/>
  <c r="F445"/>
  <c r="G445" s="1"/>
  <c r="F446"/>
  <c r="G446" s="1"/>
  <c r="F447"/>
  <c r="G447" s="1"/>
  <c r="F448"/>
  <c r="G448" s="1"/>
  <c r="F449"/>
  <c r="G449" s="1"/>
  <c r="F450"/>
  <c r="G450" s="1"/>
  <c r="F451"/>
  <c r="G451" s="1"/>
  <c r="F452"/>
  <c r="G452" s="1"/>
  <c r="F453"/>
  <c r="G453" s="1"/>
  <c r="F454"/>
  <c r="G454" s="1"/>
  <c r="F455"/>
  <c r="G455" s="1"/>
  <c r="F456"/>
  <c r="G456" s="1"/>
  <c r="F457"/>
  <c r="G457" s="1"/>
  <c r="F458"/>
  <c r="G458" s="1"/>
  <c r="F459"/>
  <c r="G459" s="1"/>
  <c r="F460"/>
  <c r="G460" s="1"/>
  <c r="F462"/>
  <c r="G462" s="1"/>
  <c r="F463"/>
  <c r="G463" s="1"/>
  <c r="F464"/>
  <c r="G464" s="1"/>
  <c r="F465"/>
  <c r="G465" s="1"/>
  <c r="F466"/>
  <c r="G466" s="1"/>
  <c r="F467"/>
  <c r="G467" s="1"/>
  <c r="F468"/>
  <c r="G468" s="1"/>
  <c r="F469"/>
  <c r="G469" s="1"/>
  <c r="F470"/>
  <c r="G470" s="1"/>
  <c r="F471"/>
  <c r="G471" s="1"/>
  <c r="F472"/>
  <c r="G472" s="1"/>
  <c r="F473"/>
  <c r="G473" s="1"/>
  <c r="F474"/>
  <c r="G474" s="1"/>
  <c r="F475"/>
  <c r="G475" s="1"/>
  <c r="F476"/>
  <c r="G476" s="1"/>
  <c r="F477"/>
  <c r="G477" s="1"/>
  <c r="F479"/>
  <c r="G479" s="1"/>
  <c r="F480"/>
  <c r="G480" s="1"/>
  <c r="F481"/>
  <c r="G481" s="1"/>
  <c r="F482"/>
  <c r="G482" s="1"/>
  <c r="F483"/>
  <c r="G483" s="1"/>
  <c r="F484"/>
  <c r="G484" s="1"/>
  <c r="F485"/>
  <c r="G485" s="1"/>
  <c r="F486"/>
  <c r="G486" s="1"/>
  <c r="F487"/>
  <c r="G487" s="1"/>
  <c r="F488"/>
  <c r="G488" s="1"/>
  <c r="F489"/>
  <c r="G489" s="1"/>
  <c r="F491"/>
  <c r="G491" s="1"/>
  <c r="F492"/>
  <c r="G492" s="1"/>
  <c r="F493"/>
  <c r="G493" s="1"/>
  <c r="F494"/>
  <c r="G494" s="1"/>
  <c r="F495"/>
  <c r="G495" s="1"/>
  <c r="F496"/>
  <c r="G496" s="1"/>
  <c r="F497"/>
  <c r="G497" s="1"/>
  <c r="F498"/>
  <c r="G498" s="1"/>
  <c r="F499"/>
  <c r="G499" s="1"/>
  <c r="F500"/>
  <c r="G500" s="1"/>
  <c r="F501"/>
  <c r="G501" s="1"/>
  <c r="F502"/>
  <c r="G502" s="1"/>
  <c r="F503"/>
  <c r="G503" s="1"/>
  <c r="F504"/>
  <c r="G504" s="1"/>
  <c r="F506"/>
  <c r="G506" s="1"/>
  <c r="F507"/>
  <c r="G507" s="1"/>
  <c r="F508"/>
  <c r="G508" s="1"/>
  <c r="F509"/>
  <c r="G509" s="1"/>
  <c r="F510"/>
  <c r="G510" s="1"/>
  <c r="F511"/>
  <c r="G511" s="1"/>
  <c r="F512"/>
  <c r="G512" s="1"/>
  <c r="F513"/>
  <c r="G513" s="1"/>
  <c r="F514"/>
  <c r="G514" s="1"/>
  <c r="F516"/>
  <c r="G516" s="1"/>
  <c r="F517"/>
  <c r="G517" s="1"/>
  <c r="F518"/>
  <c r="G518" s="1"/>
  <c r="F519"/>
  <c r="G519" s="1"/>
  <c r="F520"/>
  <c r="G520" s="1"/>
  <c r="F521"/>
  <c r="G521" s="1"/>
  <c r="F522"/>
  <c r="G522" s="1"/>
  <c r="F524"/>
  <c r="G524" s="1"/>
  <c r="F525"/>
  <c r="G525" s="1"/>
  <c r="F526"/>
  <c r="G526" s="1"/>
  <c r="F527"/>
  <c r="G527" s="1"/>
  <c r="F528"/>
  <c r="G528" s="1"/>
  <c r="F529"/>
  <c r="G529" s="1"/>
  <c r="F530"/>
  <c r="G530" s="1"/>
  <c r="F531"/>
  <c r="G531" s="1"/>
  <c r="F532"/>
  <c r="G532" s="1"/>
  <c r="F533"/>
  <c r="G533" s="1"/>
  <c r="F534"/>
  <c r="G534" s="1"/>
  <c r="F535"/>
  <c r="G535" s="1"/>
  <c r="F536"/>
  <c r="G536" s="1"/>
  <c r="F537"/>
  <c r="G537" s="1"/>
  <c r="F539"/>
  <c r="G539" s="1"/>
  <c r="F541"/>
  <c r="G541" s="1"/>
  <c r="F542"/>
  <c r="G542" s="1"/>
  <c r="F543"/>
  <c r="G543" s="1"/>
  <c r="F544"/>
  <c r="G544" s="1"/>
  <c r="F545"/>
  <c r="G545" s="1"/>
  <c r="F546"/>
  <c r="G546" s="1"/>
  <c r="F547"/>
  <c r="G547" s="1"/>
  <c r="F548"/>
  <c r="G548" s="1"/>
  <c r="F549"/>
  <c r="G549" s="1"/>
  <c r="F550"/>
  <c r="G550" s="1"/>
  <c r="F551"/>
  <c r="G551" s="1"/>
  <c r="F552"/>
  <c r="G552" s="1"/>
  <c r="F553"/>
  <c r="G553" s="1"/>
  <c r="F554"/>
  <c r="G554" s="1"/>
  <c r="F555"/>
  <c r="G555" s="1"/>
  <c r="F556"/>
  <c r="G556" s="1"/>
  <c r="F557"/>
  <c r="G557" s="1"/>
  <c r="F558"/>
  <c r="G558" s="1"/>
  <c r="F559"/>
  <c r="G559" s="1"/>
  <c r="F560"/>
  <c r="G560" s="1"/>
  <c r="F561"/>
  <c r="G561" s="1"/>
  <c r="F563"/>
  <c r="G563" s="1"/>
  <c r="F565"/>
  <c r="G565" s="1"/>
  <c r="F566"/>
  <c r="G566" s="1"/>
  <c r="F568"/>
  <c r="G568" s="1"/>
  <c r="F569"/>
  <c r="G569" s="1"/>
  <c r="F570"/>
  <c r="G570" s="1"/>
  <c r="F571"/>
  <c r="G571" s="1"/>
  <c r="F572"/>
  <c r="G572" s="1"/>
  <c r="F573"/>
  <c r="G573" s="1"/>
  <c r="F574"/>
  <c r="G574" s="1"/>
  <c r="F575"/>
  <c r="G575" s="1"/>
  <c r="F576"/>
  <c r="G576" s="1"/>
  <c r="F577"/>
  <c r="G577" s="1"/>
  <c r="F578"/>
  <c r="G578" s="1"/>
  <c r="F579"/>
  <c r="G579" s="1"/>
  <c r="F580"/>
  <c r="G580" s="1"/>
  <c r="F581"/>
  <c r="G581" s="1"/>
  <c r="F582"/>
  <c r="G582" s="1"/>
  <c r="F583"/>
  <c r="G583" s="1"/>
  <c r="F584"/>
  <c r="G584" s="1"/>
  <c r="F585"/>
  <c r="G585" s="1"/>
  <c r="F586"/>
  <c r="G586" s="1"/>
  <c r="F587"/>
  <c r="G587" s="1"/>
  <c r="F588"/>
  <c r="G588" s="1"/>
  <c r="F589"/>
  <c r="G589" s="1"/>
  <c r="F590"/>
  <c r="G590" s="1"/>
  <c r="F591"/>
  <c r="G591" s="1"/>
  <c r="F592"/>
  <c r="G592" s="1"/>
  <c r="F593"/>
  <c r="G593" s="1"/>
  <c r="F594"/>
  <c r="G594" s="1"/>
  <c r="F596"/>
  <c r="G596" s="1"/>
  <c r="F597"/>
  <c r="G597" s="1"/>
  <c r="F598"/>
  <c r="G598" s="1"/>
  <c r="F599"/>
  <c r="G599" s="1"/>
  <c r="F600"/>
  <c r="G600" s="1"/>
  <c r="F602"/>
  <c r="G602" s="1"/>
  <c r="F603"/>
  <c r="G603" s="1"/>
  <c r="F604"/>
  <c r="G604" s="1"/>
  <c r="F605"/>
  <c r="G605" s="1"/>
  <c r="F606"/>
  <c r="G606" s="1"/>
  <c r="F607"/>
  <c r="G607" s="1"/>
  <c r="F608"/>
  <c r="G608" s="1"/>
  <c r="F609"/>
  <c r="G609" s="1"/>
  <c r="F610"/>
  <c r="G610" s="1"/>
  <c r="F611"/>
  <c r="G611" s="1"/>
  <c r="F612"/>
  <c r="G612" s="1"/>
  <c r="F613"/>
  <c r="G613" s="1"/>
  <c r="F614"/>
  <c r="G614" s="1"/>
  <c r="F615"/>
  <c r="G615" s="1"/>
  <c r="F616"/>
  <c r="G616" s="1"/>
  <c r="F617"/>
  <c r="G617" s="1"/>
  <c r="F618"/>
  <c r="G618" s="1"/>
  <c r="F619"/>
  <c r="G619" s="1"/>
  <c r="F620"/>
  <c r="G620" s="1"/>
  <c r="F621"/>
  <c r="G621" s="1"/>
  <c r="F622"/>
  <c r="G622" s="1"/>
  <c r="F623"/>
  <c r="G623" s="1"/>
  <c r="F624"/>
  <c r="G624" s="1"/>
  <c r="F625"/>
  <c r="G625" s="1"/>
  <c r="F626"/>
  <c r="G626" s="1"/>
  <c r="F627"/>
  <c r="G627" s="1"/>
  <c r="F628"/>
  <c r="G628" s="1"/>
  <c r="F629"/>
  <c r="G629" s="1"/>
  <c r="F630"/>
  <c r="G630" s="1"/>
  <c r="F631"/>
  <c r="G631" s="1"/>
  <c r="F632"/>
  <c r="G632" s="1"/>
  <c r="F633"/>
  <c r="G633" s="1"/>
  <c r="F634"/>
  <c r="G634" s="1"/>
  <c r="F635"/>
  <c r="G635" s="1"/>
  <c r="F636"/>
  <c r="G636" s="1"/>
  <c r="F637"/>
  <c r="G637" s="1"/>
  <c r="F638"/>
  <c r="G638" s="1"/>
  <c r="F639"/>
  <c r="G639" s="1"/>
  <c r="F640"/>
  <c r="G640" s="1"/>
  <c r="F641"/>
  <c r="G641" s="1"/>
  <c r="F642"/>
  <c r="G642" s="1"/>
  <c r="F643"/>
  <c r="G643" s="1"/>
  <c r="F645"/>
  <c r="G645" s="1"/>
  <c r="F647"/>
  <c r="G647" s="1"/>
  <c r="F648"/>
  <c r="G648" s="1"/>
  <c r="F649"/>
  <c r="G649" s="1"/>
  <c r="F650"/>
  <c r="G650" s="1"/>
  <c r="F651"/>
  <c r="G651" s="1"/>
  <c r="F652"/>
  <c r="G652" s="1"/>
  <c r="F653"/>
  <c r="G653" s="1"/>
  <c r="F654"/>
  <c r="G654" s="1"/>
  <c r="F655"/>
  <c r="G655" s="1"/>
  <c r="F656"/>
  <c r="G656" s="1"/>
  <c r="F657"/>
  <c r="G657" s="1"/>
  <c r="F658"/>
  <c r="G658" s="1"/>
  <c r="F659"/>
  <c r="G659" s="1"/>
  <c r="F660"/>
  <c r="G660" s="1"/>
  <c r="F661"/>
  <c r="G661" s="1"/>
  <c r="F662"/>
  <c r="G662" s="1"/>
  <c r="F663"/>
  <c r="G663" s="1"/>
  <c r="F664"/>
  <c r="G664" s="1"/>
  <c r="F665"/>
  <c r="G665" s="1"/>
  <c r="F666"/>
  <c r="G666" s="1"/>
  <c r="F667"/>
  <c r="G667" s="1"/>
  <c r="F668"/>
  <c r="G668" s="1"/>
  <c r="F669"/>
  <c r="G669" s="1"/>
  <c r="F670"/>
  <c r="G670" s="1"/>
  <c r="F671"/>
  <c r="G671" s="1"/>
  <c r="F672"/>
  <c r="G672" s="1"/>
  <c r="F673"/>
  <c r="G673" s="1"/>
  <c r="F674"/>
  <c r="G674" s="1"/>
  <c r="F675"/>
  <c r="G675" s="1"/>
  <c r="F676"/>
  <c r="G676" s="1"/>
  <c r="F677"/>
  <c r="G677" s="1"/>
  <c r="F678"/>
  <c r="G678" s="1"/>
  <c r="F679"/>
  <c r="G679" s="1"/>
  <c r="F680"/>
  <c r="G680" s="1"/>
  <c r="F681"/>
  <c r="G681" s="1"/>
  <c r="F682"/>
  <c r="G682" s="1"/>
  <c r="F683"/>
  <c r="G683" s="1"/>
  <c r="F684"/>
  <c r="G684" s="1"/>
  <c r="F685"/>
  <c r="G685" s="1"/>
  <c r="F686"/>
  <c r="G686" s="1"/>
  <c r="F687"/>
  <c r="G687" s="1"/>
  <c r="F688"/>
  <c r="G688" s="1"/>
  <c r="F689"/>
  <c r="G689" s="1"/>
  <c r="F690"/>
  <c r="G690" s="1"/>
  <c r="F691"/>
  <c r="G691" s="1"/>
  <c r="F692"/>
  <c r="G692" s="1"/>
  <c r="F693"/>
  <c r="G693" s="1"/>
  <c r="F694"/>
  <c r="G694" s="1"/>
  <c r="F695"/>
  <c r="G695" s="1"/>
  <c r="F696"/>
  <c r="G696" s="1"/>
  <c r="F697"/>
  <c r="G697" s="1"/>
  <c r="F698"/>
  <c r="G698" s="1"/>
  <c r="F699"/>
  <c r="G699" s="1"/>
  <c r="F700"/>
  <c r="G700" s="1"/>
  <c r="F703"/>
  <c r="G703" s="1"/>
  <c r="F704"/>
  <c r="G704" s="1"/>
  <c r="F705"/>
  <c r="G705" s="1"/>
  <c r="F707"/>
  <c r="G707" s="1"/>
  <c r="F708"/>
  <c r="G708" s="1"/>
  <c r="F709"/>
  <c r="G709" s="1"/>
  <c r="F710"/>
  <c r="G710" s="1"/>
  <c r="F711"/>
  <c r="G711" s="1"/>
  <c r="F712"/>
  <c r="G712" s="1"/>
  <c r="F713"/>
  <c r="G713" s="1"/>
  <c r="F714"/>
  <c r="G714" s="1"/>
  <c r="F715"/>
  <c r="G715" s="1"/>
  <c r="F716"/>
  <c r="G716" s="1"/>
  <c r="F717"/>
  <c r="G717" s="1"/>
  <c r="F718"/>
  <c r="G718" s="1"/>
  <c r="F720"/>
  <c r="G720" s="1"/>
  <c r="F721"/>
  <c r="G721" s="1"/>
  <c r="F722"/>
  <c r="G722" s="1"/>
  <c r="F723"/>
  <c r="G723" s="1"/>
  <c r="F725"/>
  <c r="G725" s="1"/>
  <c r="F727"/>
  <c r="G727" s="1"/>
  <c r="F728"/>
  <c r="G728" s="1"/>
  <c r="F729"/>
  <c r="G729" s="1"/>
  <c r="F730"/>
  <c r="G730" s="1"/>
  <c r="F733"/>
  <c r="G733" s="1"/>
  <c r="F734"/>
  <c r="G734" s="1"/>
  <c r="F735"/>
  <c r="G735" s="1"/>
  <c r="F736"/>
  <c r="G736" s="1"/>
  <c r="F738"/>
  <c r="G738" s="1"/>
  <c r="F740"/>
  <c r="G740" s="1"/>
  <c r="F741"/>
  <c r="G741" s="1"/>
  <c r="F742"/>
  <c r="G742" s="1"/>
  <c r="F743"/>
  <c r="G743" s="1"/>
  <c r="F744"/>
  <c r="G744" s="1"/>
  <c r="F745"/>
  <c r="G745" s="1"/>
  <c r="F746"/>
  <c r="G746" s="1"/>
  <c r="F747"/>
  <c r="G747" s="1"/>
  <c r="F748"/>
  <c r="G748" s="1"/>
  <c r="F749"/>
  <c r="G749" s="1"/>
  <c r="F750"/>
  <c r="G750" s="1"/>
  <c r="F751"/>
  <c r="G751" s="1"/>
  <c r="F752"/>
  <c r="G752" s="1"/>
  <c r="F753"/>
  <c r="G753" s="1"/>
  <c r="F754"/>
  <c r="G754" s="1"/>
  <c r="F756"/>
  <c r="G756" s="1"/>
  <c r="F757"/>
  <c r="G757" s="1"/>
  <c r="F758"/>
  <c r="G758" s="1"/>
  <c r="F759"/>
  <c r="G759" s="1"/>
  <c r="F760"/>
  <c r="G760" s="1"/>
  <c r="F761"/>
  <c r="G761" s="1"/>
  <c r="F762"/>
  <c r="G762" s="1"/>
  <c r="F763"/>
  <c r="G763" s="1"/>
  <c r="F764"/>
  <c r="G764" s="1"/>
  <c r="F765"/>
  <c r="G765" s="1"/>
  <c r="F766"/>
  <c r="G766" s="1"/>
  <c r="F767"/>
  <c r="G767" s="1"/>
  <c r="F768"/>
  <c r="G768" s="1"/>
  <c r="F770"/>
  <c r="G770" s="1"/>
  <c r="F771"/>
  <c r="G771" s="1"/>
  <c r="F773"/>
  <c r="G773" s="1"/>
  <c r="F775"/>
  <c r="G775" s="1"/>
  <c r="F776"/>
  <c r="G776" s="1"/>
  <c r="F777"/>
  <c r="G777" s="1"/>
  <c r="F779"/>
  <c r="G779" s="1"/>
  <c r="F782"/>
  <c r="G782" s="1"/>
  <c r="F783"/>
  <c r="G783" s="1"/>
  <c r="F784"/>
  <c r="G784" s="1"/>
  <c r="F785"/>
  <c r="G785" s="1"/>
  <c r="F787"/>
  <c r="G787" s="1"/>
  <c r="H789" l="1"/>
  <c r="H788"/>
  <c r="H787"/>
  <c r="H785"/>
  <c r="H783"/>
  <c r="H782"/>
  <c r="H784"/>
  <c r="H779" l="1"/>
  <c r="H777"/>
  <c r="H776" l="1"/>
  <c r="H775"/>
  <c r="H773"/>
  <c r="H771"/>
  <c r="H770" l="1"/>
  <c r="H768"/>
  <c r="H767" l="1"/>
  <c r="H766" l="1"/>
  <c r="H765"/>
  <c r="H764" l="1"/>
  <c r="H763"/>
  <c r="H761" l="1"/>
  <c r="H762"/>
  <c r="H760"/>
  <c r="H759"/>
  <c r="H757"/>
  <c r="H758"/>
  <c r="H756"/>
  <c r="H754"/>
  <c r="H753"/>
  <c r="H676"/>
  <c r="H752"/>
  <c r="H749"/>
  <c r="H750"/>
  <c r="H751"/>
  <c r="H748" l="1"/>
  <c r="H747"/>
  <c r="H746"/>
  <c r="H745"/>
  <c r="H744" l="1"/>
  <c r="H743"/>
  <c r="H742" l="1"/>
  <c r="H741"/>
  <c r="H740"/>
  <c r="H397"/>
  <c r="H738"/>
  <c r="H680"/>
  <c r="H736"/>
  <c r="H735"/>
  <c r="H734"/>
  <c r="H733"/>
  <c r="H226"/>
  <c r="H729"/>
  <c r="H728"/>
  <c r="H127" l="1"/>
  <c r="H730"/>
  <c r="H531"/>
  <c r="H725" l="1"/>
  <c r="B10" i="4"/>
  <c r="E10"/>
  <c r="H723" i="3" l="1"/>
  <c r="H721" l="1"/>
  <c r="H617"/>
  <c r="H722"/>
  <c r="H720" l="1"/>
  <c r="H718"/>
  <c r="H687" l="1"/>
  <c r="H717" l="1"/>
  <c r="H691" l="1"/>
  <c r="H693"/>
  <c r="H715"/>
  <c r="B63" i="4"/>
  <c r="E63"/>
  <c r="B58"/>
  <c r="E58"/>
  <c r="B50"/>
  <c r="E50"/>
  <c r="B39"/>
  <c r="E39"/>
  <c r="H716" i="3" l="1"/>
  <c r="H714"/>
  <c r="H713"/>
  <c r="H712"/>
  <c r="H711" l="1"/>
  <c r="H727"/>
  <c r="H710"/>
  <c r="H709"/>
  <c r="H708"/>
  <c r="H707"/>
  <c r="H705"/>
  <c r="H704"/>
  <c r="H703"/>
  <c r="H700"/>
  <c r="H699"/>
  <c r="H698"/>
  <c r="H697"/>
  <c r="H696"/>
  <c r="H695"/>
  <c r="H694"/>
  <c r="H692"/>
  <c r="H690"/>
  <c r="H689"/>
  <c r="H688"/>
  <c r="H686"/>
  <c r="H685"/>
  <c r="H684"/>
  <c r="H683"/>
  <c r="H682"/>
  <c r="H679" l="1"/>
  <c r="H678"/>
  <c r="H677"/>
  <c r="H681" l="1"/>
  <c r="H675"/>
  <c r="H674"/>
  <c r="H673"/>
  <c r="H672"/>
  <c r="H671"/>
  <c r="H670"/>
  <c r="H669"/>
  <c r="H668"/>
  <c r="H667"/>
  <c r="H666"/>
  <c r="H665"/>
  <c r="H664"/>
  <c r="H663"/>
  <c r="H662"/>
  <c r="H661"/>
  <c r="H660"/>
  <c r="H659" l="1"/>
  <c r="H658"/>
  <c r="H657" l="1"/>
  <c r="H656"/>
  <c r="H655"/>
  <c r="H654"/>
  <c r="H653" l="1"/>
  <c r="H652"/>
  <c r="H650" l="1"/>
  <c r="H651" l="1"/>
  <c r="H649" l="1"/>
  <c r="H648"/>
  <c r="H556"/>
  <c r="H647" l="1"/>
  <c r="H645"/>
  <c r="H643"/>
  <c r="H642"/>
  <c r="H641" l="1"/>
  <c r="H640"/>
  <c r="H639"/>
  <c r="H638"/>
  <c r="H637" l="1"/>
  <c r="H636" l="1"/>
  <c r="H635"/>
  <c r="H634"/>
  <c r="H633"/>
  <c r="H632"/>
  <c r="H631"/>
  <c r="H630"/>
  <c r="H629"/>
  <c r="H628"/>
  <c r="H627"/>
  <c r="H626"/>
  <c r="H625"/>
  <c r="H624"/>
  <c r="H623"/>
  <c r="H622"/>
  <c r="H621"/>
  <c r="H620"/>
  <c r="H619"/>
  <c r="H618" l="1"/>
  <c r="H616" l="1"/>
  <c r="H615"/>
  <c r="H263" l="1"/>
  <c r="H614"/>
  <c r="H613"/>
  <c r="H612"/>
  <c r="H611" l="1"/>
  <c r="H610"/>
  <c r="H609"/>
  <c r="H608"/>
  <c r="H607"/>
  <c r="H606"/>
  <c r="H605"/>
  <c r="H604"/>
  <c r="H603"/>
  <c r="H602"/>
  <c r="H593" l="1"/>
  <c r="H596"/>
  <c r="H598"/>
  <c r="H600"/>
  <c r="H594"/>
  <c r="H597"/>
  <c r="H599"/>
  <c r="H543" l="1"/>
  <c r="H545"/>
  <c r="H547"/>
  <c r="H548"/>
  <c r="H550"/>
  <c r="H552"/>
  <c r="H554"/>
  <c r="H557"/>
  <c r="H559"/>
  <c r="H561"/>
  <c r="H565"/>
  <c r="H568"/>
  <c r="H570"/>
  <c r="H572"/>
  <c r="H574"/>
  <c r="H576"/>
  <c r="H578"/>
  <c r="H580"/>
  <c r="H583"/>
  <c r="H585"/>
  <c r="H587"/>
  <c r="H589"/>
  <c r="H591"/>
  <c r="H542"/>
  <c r="H544"/>
  <c r="H546"/>
  <c r="H549"/>
  <c r="H551"/>
  <c r="H553"/>
  <c r="H555"/>
  <c r="H558"/>
  <c r="H560"/>
  <c r="H563"/>
  <c r="H566"/>
  <c r="H569"/>
  <c r="H571"/>
  <c r="H573"/>
  <c r="H575"/>
  <c r="H577"/>
  <c r="H579"/>
  <c r="H581"/>
  <c r="H582"/>
  <c r="H584"/>
  <c r="H586"/>
  <c r="H588"/>
  <c r="H590"/>
  <c r="H592"/>
  <c r="H520" l="1"/>
  <c r="H522"/>
  <c r="H525"/>
  <c r="H527"/>
  <c r="H529"/>
  <c r="H532"/>
  <c r="H536"/>
  <c r="H539"/>
  <c r="H521"/>
  <c r="H524"/>
  <c r="H526"/>
  <c r="H528"/>
  <c r="H530"/>
  <c r="H533"/>
  <c r="H535"/>
  <c r="H537"/>
  <c r="H541"/>
  <c r="H534"/>
  <c r="H500" l="1"/>
  <c r="H502"/>
  <c r="H504"/>
  <c r="H507"/>
  <c r="H509"/>
  <c r="H511"/>
  <c r="H513"/>
  <c r="H516"/>
  <c r="H518"/>
  <c r="H499"/>
  <c r="H501"/>
  <c r="H503"/>
  <c r="H506"/>
  <c r="H508"/>
  <c r="H510"/>
  <c r="H512"/>
  <c r="H514"/>
  <c r="H517"/>
  <c r="H519"/>
  <c r="H498" l="1"/>
  <c r="H496" l="1"/>
  <c r="H495"/>
  <c r="H497"/>
  <c r="H493" l="1"/>
  <c r="H492"/>
  <c r="H494"/>
  <c r="H489" l="1"/>
  <c r="H491"/>
  <c r="H488" l="1"/>
  <c r="H487"/>
  <c r="H475" l="1"/>
  <c r="H477"/>
  <c r="H479"/>
  <c r="H481"/>
  <c r="H483"/>
  <c r="H485"/>
  <c r="H476"/>
  <c r="H480"/>
  <c r="H482"/>
  <c r="H484"/>
  <c r="H486"/>
  <c r="H471" l="1"/>
  <c r="H473"/>
  <c r="H469"/>
  <c r="H470"/>
  <c r="H472"/>
  <c r="H474"/>
  <c r="H468" l="1"/>
  <c r="H464" l="1"/>
  <c r="H466"/>
  <c r="H462"/>
  <c r="H463"/>
  <c r="H465"/>
  <c r="H467"/>
  <c r="H460" l="1"/>
  <c r="H459"/>
  <c r="H456" l="1"/>
  <c r="H458"/>
  <c r="H455"/>
  <c r="H457"/>
  <c r="H454" l="1"/>
  <c r="H446" l="1"/>
  <c r="H448"/>
  <c r="H450"/>
  <c r="H452"/>
  <c r="H447"/>
  <c r="H449"/>
  <c r="H451"/>
  <c r="H453"/>
  <c r="H445" l="1"/>
  <c r="H437" l="1"/>
  <c r="H441"/>
  <c r="H443"/>
  <c r="H435"/>
  <c r="H436"/>
  <c r="H439"/>
  <c r="H442"/>
  <c r="H444"/>
  <c r="H432" l="1"/>
  <c r="H434"/>
  <c r="H433"/>
  <c r="H431" l="1"/>
  <c r="H428" l="1"/>
  <c r="H429"/>
  <c r="H424" l="1"/>
  <c r="H423" l="1"/>
  <c r="H422"/>
  <c r="H421" l="1"/>
  <c r="H419" l="1"/>
  <c r="H420"/>
  <c r="H418" l="1"/>
  <c r="H416"/>
  <c r="H413" l="1"/>
  <c r="H415"/>
  <c r="H412"/>
  <c r="H414"/>
  <c r="H405" l="1"/>
  <c r="H407"/>
  <c r="H409"/>
  <c r="H411"/>
  <c r="H404"/>
  <c r="H406"/>
  <c r="H408"/>
  <c r="H410"/>
  <c r="H400" l="1"/>
  <c r="H403"/>
  <c r="H399"/>
  <c r="H402"/>
  <c r="H394" l="1"/>
  <c r="H398"/>
  <c r="H396"/>
  <c r="H383" l="1"/>
  <c r="H385"/>
  <c r="H387"/>
  <c r="H389"/>
  <c r="H391"/>
  <c r="H384"/>
  <c r="H386"/>
  <c r="H388"/>
  <c r="H390"/>
  <c r="H393"/>
  <c r="H382" l="1"/>
  <c r="H380"/>
  <c r="H381"/>
  <c r="H379" l="1"/>
  <c r="H377" l="1"/>
  <c r="H378"/>
  <c r="H376" l="1"/>
  <c r="H375"/>
  <c r="H374" l="1"/>
  <c r="H373" l="1"/>
  <c r="H372" l="1"/>
  <c r="H371" l="1"/>
  <c r="H370" l="1"/>
  <c r="H366" l="1"/>
  <c r="H368"/>
  <c r="H365"/>
  <c r="H367"/>
  <c r="H369"/>
  <c r="H362" l="1"/>
  <c r="H363"/>
  <c r="H357" l="1"/>
  <c r="H361"/>
  <c r="H356"/>
  <c r="H360"/>
  <c r="H351" l="1"/>
  <c r="H353"/>
  <c r="H355"/>
  <c r="H350"/>
  <c r="H352"/>
  <c r="H354"/>
  <c r="H332" l="1"/>
  <c r="H334"/>
  <c r="H336"/>
  <c r="H338"/>
  <c r="H340"/>
  <c r="H341"/>
  <c r="H342"/>
  <c r="H344"/>
  <c r="H346"/>
  <c r="H349"/>
  <c r="H333"/>
  <c r="H335"/>
  <c r="H337"/>
  <c r="H339"/>
  <c r="H343"/>
  <c r="H345"/>
  <c r="H347"/>
  <c r="H348"/>
  <c r="H299" l="1"/>
  <c r="H301"/>
  <c r="H304"/>
  <c r="H306"/>
  <c r="H308"/>
  <c r="H310"/>
  <c r="H312"/>
  <c r="H314"/>
  <c r="H317"/>
  <c r="H319"/>
  <c r="H321"/>
  <c r="H323"/>
  <c r="H325"/>
  <c r="H327"/>
  <c r="H329"/>
  <c r="H303"/>
  <c r="H305"/>
  <c r="H307"/>
  <c r="H309"/>
  <c r="H311"/>
  <c r="H313"/>
  <c r="H316"/>
  <c r="H318"/>
  <c r="H320"/>
  <c r="H322"/>
  <c r="H324"/>
  <c r="H326"/>
  <c r="H328"/>
  <c r="H330"/>
  <c r="H291" l="1"/>
  <c r="H293"/>
  <c r="H295"/>
  <c r="H297"/>
  <c r="H289"/>
  <c r="H290"/>
  <c r="H292"/>
  <c r="H294"/>
  <c r="H296"/>
  <c r="H298"/>
  <c r="H274" l="1"/>
  <c r="H277"/>
  <c r="H279"/>
  <c r="H282"/>
  <c r="H284"/>
  <c r="H286"/>
  <c r="H288"/>
  <c r="H273"/>
  <c r="H276"/>
  <c r="H278"/>
  <c r="H281"/>
  <c r="H283"/>
  <c r="H285"/>
  <c r="H287"/>
  <c r="H271" l="1"/>
  <c r="H259" l="1"/>
  <c r="H261"/>
  <c r="H264"/>
  <c r="H267"/>
  <c r="H269"/>
  <c r="H260"/>
  <c r="H262"/>
  <c r="H265"/>
  <c r="H266"/>
  <c r="H268"/>
  <c r="H270"/>
  <c r="H202" l="1"/>
  <c r="H205"/>
  <c r="H207"/>
  <c r="H210"/>
  <c r="H212"/>
  <c r="H214"/>
  <c r="H217"/>
  <c r="H219"/>
  <c r="H221"/>
  <c r="H224"/>
  <c r="H228"/>
  <c r="H230"/>
  <c r="H232"/>
  <c r="H235"/>
  <c r="H238"/>
  <c r="H240"/>
  <c r="H242"/>
  <c r="H244"/>
  <c r="H246"/>
  <c r="H248"/>
  <c r="H250"/>
  <c r="H252"/>
  <c r="H254"/>
  <c r="H256"/>
  <c r="H258"/>
  <c r="H204"/>
  <c r="H206"/>
  <c r="H208"/>
  <c r="H209"/>
  <c r="H211"/>
  <c r="H213"/>
  <c r="H215"/>
  <c r="H218"/>
  <c r="H220"/>
  <c r="H223"/>
  <c r="H225"/>
  <c r="H229"/>
  <c r="H231"/>
  <c r="H233"/>
  <c r="H236"/>
  <c r="H239"/>
  <c r="H241"/>
  <c r="H243"/>
  <c r="H245"/>
  <c r="H247"/>
  <c r="H249"/>
  <c r="H251"/>
  <c r="H253"/>
  <c r="H255"/>
  <c r="H257"/>
  <c r="H194" l="1"/>
  <c r="H195"/>
  <c r="H197"/>
  <c r="H199"/>
  <c r="H196"/>
  <c r="H198"/>
  <c r="H201"/>
  <c r="H182" l="1"/>
  <c r="H184"/>
  <c r="H186"/>
  <c r="H188"/>
  <c r="H192"/>
  <c r="H183"/>
  <c r="H185"/>
  <c r="H187"/>
  <c r="H190"/>
  <c r="H193"/>
  <c r="H181" l="1"/>
  <c r="H180"/>
  <c r="H156" l="1"/>
  <c r="H158"/>
  <c r="H161"/>
  <c r="H163"/>
  <c r="H165"/>
  <c r="H167"/>
  <c r="H169"/>
  <c r="H172"/>
  <c r="H177"/>
  <c r="H179"/>
  <c r="H157"/>
  <c r="H159"/>
  <c r="H162"/>
  <c r="H164"/>
  <c r="H166"/>
  <c r="H168"/>
  <c r="H170"/>
  <c r="H175"/>
  <c r="H178"/>
  <c r="H133" l="1"/>
  <c r="H135"/>
  <c r="H138"/>
  <c r="H141"/>
  <c r="H143"/>
  <c r="H146"/>
  <c r="H148"/>
  <c r="H150"/>
  <c r="H152"/>
  <c r="H154"/>
  <c r="H134"/>
  <c r="H137"/>
  <c r="H140"/>
  <c r="H142"/>
  <c r="H144"/>
  <c r="H147"/>
  <c r="H149"/>
  <c r="H151"/>
  <c r="H153"/>
  <c r="H155"/>
  <c r="H130" l="1"/>
  <c r="H131"/>
  <c r="H132"/>
  <c r="H68" l="1"/>
  <c r="H70"/>
  <c r="H72"/>
  <c r="H74"/>
  <c r="H76"/>
  <c r="H78"/>
  <c r="H80"/>
  <c r="H82"/>
  <c r="H84"/>
  <c r="H86"/>
  <c r="H88"/>
  <c r="H90"/>
  <c r="H92"/>
  <c r="H94"/>
  <c r="H101"/>
  <c r="H103"/>
  <c r="H105"/>
  <c r="H107"/>
  <c r="H109"/>
  <c r="H112"/>
  <c r="H114"/>
  <c r="H116"/>
  <c r="H117"/>
  <c r="H119"/>
  <c r="H121"/>
  <c r="H123"/>
  <c r="H126"/>
  <c r="H129"/>
  <c r="H69"/>
  <c r="H71"/>
  <c r="H73"/>
  <c r="H75"/>
  <c r="H77"/>
  <c r="H79"/>
  <c r="H81"/>
  <c r="H83"/>
  <c r="H85"/>
  <c r="H87"/>
  <c r="H89"/>
  <c r="H91"/>
  <c r="H93"/>
  <c r="H95"/>
  <c r="H99"/>
  <c r="H100"/>
  <c r="H102"/>
  <c r="H104"/>
  <c r="H106"/>
  <c r="H108"/>
  <c r="H110"/>
  <c r="H113"/>
  <c r="H115"/>
  <c r="H118"/>
  <c r="H120"/>
  <c r="H122"/>
  <c r="H124"/>
  <c r="H128"/>
  <c r="H19" l="1"/>
  <c r="H23"/>
  <c r="H26"/>
  <c r="H28"/>
  <c r="H30"/>
  <c r="H32"/>
  <c r="H34"/>
  <c r="H36"/>
  <c r="H40"/>
  <c r="H43"/>
  <c r="H45"/>
  <c r="H47"/>
  <c r="H49"/>
  <c r="H51"/>
  <c r="H53"/>
  <c r="H55"/>
  <c r="H57"/>
  <c r="H59"/>
  <c r="H62"/>
  <c r="H20"/>
  <c r="H24"/>
  <c r="H27"/>
  <c r="H29"/>
  <c r="H31"/>
  <c r="H33"/>
  <c r="H35"/>
  <c r="H37"/>
  <c r="H41"/>
  <c r="H44"/>
  <c r="H46"/>
  <c r="H48"/>
  <c r="H50"/>
  <c r="H52"/>
  <c r="H54"/>
  <c r="H56"/>
  <c r="H58"/>
  <c r="H60"/>
  <c r="H63"/>
  <c r="F17"/>
  <c r="H17" l="1"/>
  <c r="G17" s="1"/>
  <c r="H18"/>
  <c r="F62" i="4" l="1"/>
  <c r="F61"/>
  <c r="F63" l="1"/>
  <c r="F57"/>
  <c r="F56"/>
  <c r="F55"/>
  <c r="F54" l="1"/>
  <c r="F53"/>
  <c r="F49"/>
  <c r="F48"/>
  <c r="F47"/>
  <c r="F46"/>
  <c r="F45"/>
  <c r="F44"/>
  <c r="F43"/>
  <c r="F42"/>
  <c r="F50" l="1"/>
  <c r="F58"/>
  <c r="F25"/>
  <c r="F24"/>
  <c r="F23"/>
  <c r="F33"/>
  <c r="F26"/>
  <c r="F30"/>
  <c r="F22"/>
  <c r="F34"/>
  <c r="F29"/>
  <c r="F21"/>
  <c r="F37"/>
  <c r="F20"/>
  <c r="F38"/>
  <c r="F32"/>
  <c r="F31"/>
  <c r="F28"/>
  <c r="F19"/>
  <c r="F18"/>
  <c r="F35"/>
  <c r="F17"/>
  <c r="F27"/>
  <c r="F16"/>
  <c r="F15"/>
  <c r="F39" s="1"/>
  <c r="F36"/>
  <c r="F9"/>
  <c r="F8"/>
  <c r="F7"/>
  <c r="F6"/>
  <c r="F10" l="1"/>
</calcChain>
</file>

<file path=xl/sharedStrings.xml><?xml version="1.0" encoding="utf-8"?>
<sst xmlns="http://schemas.openxmlformats.org/spreadsheetml/2006/main" count="5719" uniqueCount="1163">
  <si>
    <t>ADA</t>
  </si>
  <si>
    <t>Status</t>
  </si>
  <si>
    <t>Province</t>
  </si>
  <si>
    <t>BUI THI KIM CHI</t>
  </si>
  <si>
    <t>HUE</t>
  </si>
  <si>
    <t>100pax</t>
  </si>
  <si>
    <t>HAI PHONG</t>
  </si>
  <si>
    <t>Notes</t>
  </si>
  <si>
    <t>Official Receipt No.</t>
  </si>
  <si>
    <t>Contract</t>
  </si>
  <si>
    <t>HCM</t>
  </si>
  <si>
    <t>500pax</t>
  </si>
  <si>
    <t>DIAMOND</t>
  </si>
  <si>
    <t>1000pax</t>
  </si>
  <si>
    <t>HN</t>
  </si>
  <si>
    <t>Quota</t>
  </si>
  <si>
    <t>MEETING QUOTA DATA</t>
  </si>
  <si>
    <t>MEETING HISTORY DATA</t>
  </si>
  <si>
    <t>Remain</t>
  </si>
  <si>
    <t>Platinum</t>
  </si>
  <si>
    <t>PHAM HONG LE &amp; VUONG TUAN LONG</t>
  </si>
  <si>
    <t>Emerald</t>
  </si>
  <si>
    <t>Diamond</t>
  </si>
  <si>
    <t>DOAN TO CHAN</t>
  </si>
  <si>
    <t>DINH HUU SON</t>
  </si>
  <si>
    <t>Founders Emerald</t>
  </si>
  <si>
    <t>DANG NU</t>
  </si>
  <si>
    <t>NGUYEN THI LAN ANH</t>
  </si>
  <si>
    <t>DONG THUY DAN</t>
  </si>
  <si>
    <t>NGUYEN THI THAO &amp; HOANG MANH HUNG</t>
  </si>
  <si>
    <t>NGUYEN THI HAU</t>
  </si>
  <si>
    <t>NGUYEN THI THANH &amp; DOAN PHU CHINH</t>
  </si>
  <si>
    <t>DAM TAN THANH &amp; BUI THUY LINH</t>
  </si>
  <si>
    <t>Sapphire</t>
  </si>
  <si>
    <t>TRAN THI BICH TIEN &amp; VO THANH HAI</t>
  </si>
  <si>
    <t>HOANG THI SAM &amp; TRAN VAN HUNG</t>
  </si>
  <si>
    <t>Ruby</t>
  </si>
  <si>
    <t>VU THI PHUC</t>
  </si>
  <si>
    <t>AN THU HUONG</t>
  </si>
  <si>
    <t>% Used</t>
  </si>
  <si>
    <t>Actual</t>
  </si>
  <si>
    <t>Meeting Type</t>
  </si>
  <si>
    <t>Dist Title</t>
  </si>
  <si>
    <t>Dist Name</t>
  </si>
  <si>
    <t>Meeting Place</t>
  </si>
  <si>
    <t>Meeting Hour</t>
  </si>
  <si>
    <t>Rental Cost</t>
  </si>
  <si>
    <t>Paid By Dist</t>
  </si>
  <si>
    <t>Supported By AW</t>
  </si>
  <si>
    <t>Title</t>
  </si>
  <si>
    <t>CHECK QUOTA</t>
  </si>
  <si>
    <t>MEETING REGISTRATION</t>
  </si>
  <si>
    <t>Meeting Day</t>
  </si>
  <si>
    <t>Meeting Month</t>
  </si>
  <si>
    <t>Support Province</t>
  </si>
  <si>
    <t>CAN THO</t>
  </si>
  <si>
    <t>DA NANG</t>
  </si>
  <si>
    <t>NGHE AN</t>
  </si>
  <si>
    <t>HOA BINH</t>
  </si>
  <si>
    <t>THAI NGUYEN</t>
  </si>
  <si>
    <t>QUANG NINH</t>
  </si>
  <si>
    <t>PHU THO</t>
  </si>
  <si>
    <t>DONG NAI</t>
  </si>
  <si>
    <t>VUNG TAU</t>
  </si>
  <si>
    <t>AN GIANG</t>
  </si>
  <si>
    <t>CA MAU</t>
  </si>
  <si>
    <t>NAM DINH</t>
  </si>
  <si>
    <t>HAI DUONG</t>
  </si>
  <si>
    <t>BAC GIANG</t>
  </si>
  <si>
    <t>NHA TRANG</t>
  </si>
  <si>
    <t>VINH</t>
  </si>
  <si>
    <t>CheckboxValue</t>
  </si>
  <si>
    <t>Last Updated</t>
  </si>
  <si>
    <r>
      <t xml:space="preserve">ADA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</si>
  <si>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Dist Name </t>
    </r>
    <r>
      <rPr>
        <b/>
        <sz val="11"/>
        <color rgb="FFFF0000"/>
        <rFont val="Calibri"/>
        <family val="2"/>
        <scheme val="minor"/>
      </rPr>
      <t xml:space="preserve">* </t>
    </r>
  </si>
  <si>
    <r>
      <t xml:space="preserve">Dist Title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</si>
  <si>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Meeting Type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</si>
  <si>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Meeting Day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</si>
  <si>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Meeting Month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</si>
  <si>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Province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</si>
  <si>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Rental Cost </t>
    </r>
    <r>
      <rPr>
        <b/>
        <sz val="11"/>
        <color rgb="FFFF0000"/>
        <rFont val="Calibri"/>
        <family val="2"/>
        <scheme val="minor"/>
      </rPr>
      <t>*</t>
    </r>
  </si>
  <si>
    <t>PHAM THI PHUONG HOA &amp; NGUYEN THE DUC</t>
  </si>
  <si>
    <t>VU THI THU HUONG &amp; DINH ANH TUAN</t>
  </si>
  <si>
    <t>PHAM QUANG HUNG &amp; HA THI THANH THUY</t>
  </si>
  <si>
    <t>LUU CHI HUNG &amp; HUYNH HUE HOA</t>
  </si>
  <si>
    <t>BUI THI THU HA &amp; NGUYEN DUC HIEU</t>
  </si>
  <si>
    <t>NGUYEN HONG THI &amp; HOANG CONG DAO</t>
  </si>
  <si>
    <t>TRAN PHAM BINH &amp; NGUYEN THI VIET NGA</t>
  </si>
  <si>
    <t>VUONG QUYNH THOA &amp; NGO VIET HA</t>
  </si>
  <si>
    <t>NGUYEN THANH PHONG &amp; DO NGOC DIEP</t>
  </si>
  <si>
    <t>TRAN THI HANH &amp; NGUYEN NGOC LINH</t>
  </si>
  <si>
    <t>NGUYEN THI HAO &amp; VO QUOC DAN</t>
  </si>
  <si>
    <t>TRAN THI QUYNH CHAU &amp; HO VAN HUNG</t>
  </si>
  <si>
    <t>EMERALD</t>
  </si>
  <si>
    <t>DE NHAT HOTEL</t>
  </si>
  <si>
    <t>PHAM HONG ANH</t>
  </si>
  <si>
    <t>DAM THI THUONG</t>
  </si>
  <si>
    <t>HUYNH QUOC VINH &amp; BANH PHU NINH</t>
  </si>
  <si>
    <t>LAM A TAY &amp; LY SACH MUI</t>
  </si>
  <si>
    <t>PHAN THI THU NGA &amp; NGUYEN MAI KHANH</t>
  </si>
  <si>
    <t>NGUYEN THI BICH HA</t>
  </si>
  <si>
    <t>TRAN THI HOAI</t>
  </si>
  <si>
    <t>TRAN THI NGOC DUNG</t>
  </si>
  <si>
    <t>TRAN THI QUY &amp; HOANG VAN XIN</t>
  </si>
  <si>
    <t>TRAN THI THU HAI &amp; NGUYEN VAN HUNG</t>
  </si>
  <si>
    <t>NGUYEN ANH TUAN</t>
  </si>
  <si>
    <t>NGO THI BACH NGAN &amp; TRINH XUAN TUNG</t>
  </si>
  <si>
    <t>NGUYEN DUC CHIEN &amp; HOANG THI THAO</t>
  </si>
  <si>
    <t>NGUYEN THANH CHUONG</t>
  </si>
  <si>
    <t>BUI DINH NHAT &amp; VU THI HOA TRANG</t>
  </si>
  <si>
    <t>CAO THI LIEN &amp; LE XUAN PHUOC</t>
  </si>
  <si>
    <t>NGO VAN SOUL</t>
  </si>
  <si>
    <t>LE THI HONG VAN &amp; NGUYEN TIEN HOP</t>
  </si>
  <si>
    <t>PHAM THI HONG LIEN</t>
  </si>
  <si>
    <t>THAN MANH CHUAN &amp; DAO THI PHUONG LAN</t>
  </si>
  <si>
    <t>VU DUY HIEN &amp; LE THI THUY</t>
  </si>
  <si>
    <t>DAO THI ANH</t>
  </si>
  <si>
    <t>TRUONG THI LE</t>
  </si>
  <si>
    <t>HO TRI DUNG</t>
  </si>
  <si>
    <t>NGUYEN THI CAM HANH</t>
  </si>
  <si>
    <t>TRAN NGUYEN THUY PHUONG</t>
  </si>
  <si>
    <t>LE THI CAM VAN</t>
  </si>
  <si>
    <t>TAT THI TUYET HONG</t>
  </si>
  <si>
    <t>PHUNG THU THANH &amp; NGUYEN VAN KHANH</t>
  </si>
  <si>
    <t>DO THI THAM &amp; DO QUOC TRUNG</t>
  </si>
  <si>
    <t>CUNG HONG KIEN &amp; TRAN ANH TUYET</t>
  </si>
  <si>
    <t>HOANG THI THU HUONG</t>
  </si>
  <si>
    <t>DAM THI HOAT &amp; PHAM LAM</t>
  </si>
  <si>
    <t>VAN SON TUNG &amp; TRUONG NGA</t>
  </si>
  <si>
    <t>DOAN QUOC THANH &amp; NGUYEN THI ANH NGA</t>
  </si>
  <si>
    <t>HOANG THI QUE &amp; HOANG VAN QUANG</t>
  </si>
  <si>
    <t>HOANG VAN THAI</t>
  </si>
  <si>
    <t>NGUYEN HUNG DUNG</t>
  </si>
  <si>
    <t>TRAN NGOC CAO SON &amp; LAI NGOC ANH</t>
  </si>
  <si>
    <t>TRAN THI NAM</t>
  </si>
  <si>
    <t>TRAN THI THAP &amp; TRAN THANH</t>
  </si>
  <si>
    <t>DAO THU LAN</t>
  </si>
  <si>
    <t>NGUYEN THI NGOC HUONG &amp; LAM KHAI CANH</t>
  </si>
  <si>
    <t>KHUAT THI DIEP</t>
  </si>
  <si>
    <t>LAI THI NGOC THUONG</t>
  </si>
  <si>
    <t>TON HUU NGHI</t>
  </si>
  <si>
    <t>TRIEU BUU HUONG</t>
  </si>
  <si>
    <t>DAM DUY HAI</t>
  </si>
  <si>
    <t>HA DUY ANH</t>
  </si>
  <si>
    <t>HUYNH DOAN NGON</t>
  </si>
  <si>
    <t>NGUYEN THI MAI SINH &amp; LE NGOC HUNG</t>
  </si>
  <si>
    <t>NGUYEN THI YEN PHUONG</t>
  </si>
  <si>
    <t>NGUYEN VAN GIANG</t>
  </si>
  <si>
    <t>PHAM QUANG TRUNG</t>
  </si>
  <si>
    <t>TRAN DUNG &amp; DANG THI NHU Y</t>
  </si>
  <si>
    <t>TRAN HOANG LAN &amp; NGUYEN QUYNH ANH</t>
  </si>
  <si>
    <t>DANG VU HOANG &amp; NGUYEN NHU HOA</t>
  </si>
  <si>
    <t>DUONG LAN HUONG &amp; TRINH QUOC AN</t>
  </si>
  <si>
    <t>HOANG THUY NGA</t>
  </si>
  <si>
    <t>LE BA TU</t>
  </si>
  <si>
    <t>LE THI BINH &amp; LE DINH LONG</t>
  </si>
  <si>
    <t>NGUYEN THI LIEN &amp; NGUYEN DANG THAM</t>
  </si>
  <si>
    <t>NGUYEN THI THU THUY &amp; LE VAN DAT</t>
  </si>
  <si>
    <t>TRAN HONG AN &amp; NGUYEN DUY LINH</t>
  </si>
  <si>
    <t>TRINH THI BICH THAO &amp; NGUYEN XUAN KHAI</t>
  </si>
  <si>
    <t>VU THE ANH</t>
  </si>
  <si>
    <t>HOANG THI THU &amp; LE VAN TIEN</t>
  </si>
  <si>
    <t>NGUYEN NGOC TRUNG &amp; HA THI CAM  VAN</t>
  </si>
  <si>
    <t>NGUYEN VAN TRONG</t>
  </si>
  <si>
    <t>PHAM DUY MANH</t>
  </si>
  <si>
    <t>VO THANH MINH</t>
  </si>
  <si>
    <t>VUONG THI MY HANH &amp; DANG HONG HAI</t>
  </si>
  <si>
    <t>DUONG THI PHUONG &amp; LE HUNG TANG</t>
  </si>
  <si>
    <t>LE QUANG HUY &amp; TRAN THU HUONG</t>
  </si>
  <si>
    <t>NGUYEN THI TOAN &amp; NGUYEN PHU XUYEN</t>
  </si>
  <si>
    <t>PHUNG HAO PHAT &amp; TRAN NGOC THANH</t>
  </si>
  <si>
    <t>TRAN THI THANH LOAN &amp; NGUYEN KHANH TOAN</t>
  </si>
  <si>
    <t>TRAN THI XUAN &amp; TRAN HAU HAI</t>
  </si>
  <si>
    <t>NGUYEN THI MINH THUAN &amp; DUONG ANH DUNG</t>
  </si>
  <si>
    <t>DANG VAN TUAN</t>
  </si>
  <si>
    <t>DO TUAN ANH &amp; LE HOAI THU</t>
  </si>
  <si>
    <t>LE THI PHUONG LOAN &amp; NGUYEN MINH TUAN</t>
  </si>
  <si>
    <t>NGUYEN THI PHUONG THAO &amp; DAM VAN THAO</t>
  </si>
  <si>
    <t>BACH TONG KHANH MINH</t>
  </si>
  <si>
    <t>NGUYEN THI CHAM &amp; NGUYEN XUAN PHUONG</t>
  </si>
  <si>
    <t>PHAM VAN LA &amp; TRUONG THI THANH</t>
  </si>
  <si>
    <t>TU THIEU PHUNG</t>
  </si>
  <si>
    <t>HOANG MANH HAI &amp; BUI THI HANG</t>
  </si>
  <si>
    <t>LE YEN &amp; NGUYEN THI HONG TRANG</t>
  </si>
  <si>
    <t>NGUYEN HUY CUONG &amp; DAM THI DIEM HANH</t>
  </si>
  <si>
    <t>NGUYEN THI HANH &amp; DO CAO DANG</t>
  </si>
  <si>
    <t>NGUYEN THI HONG  &amp; VU ANH THU</t>
  </si>
  <si>
    <t>NGUYEN THU PHUONG &amp; DO TUAN BINH</t>
  </si>
  <si>
    <t>NGUYEN THUY DUONG &amp; LE ANH DUNG</t>
  </si>
  <si>
    <t>NGUYEN  TUAN ANH &amp; NGUYEN THANH XUAN</t>
  </si>
  <si>
    <t>TRAN CO DANH</t>
  </si>
  <si>
    <t>DANG ANH TUAN &amp; PHAN THI LAN HUONG</t>
  </si>
  <si>
    <t>DO VAN HOA</t>
  </si>
  <si>
    <t>HA VAN TAI</t>
  </si>
  <si>
    <t>HUYNH VAN SON &amp; NGUYEN THI KIM NGAN</t>
  </si>
  <si>
    <t>KIEU MY HANH</t>
  </si>
  <si>
    <t>LE DUC DO &amp; NGUYEN THI CHUT</t>
  </si>
  <si>
    <t>LE THI CHINH</t>
  </si>
  <si>
    <t>NGUYEN CAO DUC &amp; PHAM DONG HA</t>
  </si>
  <si>
    <t>NGUYEN HOANG SUONG &amp; LE THI ANH TUYET</t>
  </si>
  <si>
    <t>NGUYEN THI NGOC ANH</t>
  </si>
  <si>
    <t>NGUYEN THI QUYNH NGUYEN</t>
  </si>
  <si>
    <t>NGUYEN VAN TIENG</t>
  </si>
  <si>
    <t>PHAM THI TOI &amp; DANG VAN DUC</t>
  </si>
  <si>
    <t>TRAN BA VINH</t>
  </si>
  <si>
    <t>VU THI HOE &amp; VU HUY KHA</t>
  </si>
  <si>
    <t>BUI TO NGA &amp; NGUYEN DANG CHI</t>
  </si>
  <si>
    <t>DO THI KIM NGAN &amp; NGUYEN TIEN THANH</t>
  </si>
  <si>
    <t>NGUYEN GIANG THANH &amp; DO HUNG CUONG</t>
  </si>
  <si>
    <t>NGUYEN QUANG THANG &amp; DUONG THI MAU</t>
  </si>
  <si>
    <t>NGUYEN QUOC THU</t>
  </si>
  <si>
    <t>NGUYEN THI LAN &amp; NGUYEN VAN MAY</t>
  </si>
  <si>
    <t>NGUYEN THI LIEN</t>
  </si>
  <si>
    <t>NGUYEN THI THANH &amp; NGUYEN NONG GIANG</t>
  </si>
  <si>
    <t>NGUYEN THU TRANG &amp; NGUYEN NGOC LONG</t>
  </si>
  <si>
    <t>TRAN THI DUYEN</t>
  </si>
  <si>
    <t>TRAN THI KHUONG &amp; TRAN VAN NGO</t>
  </si>
  <si>
    <t>TRAN VAN DAN</t>
  </si>
  <si>
    <t>TRINH THI THANH HAI</t>
  </si>
  <si>
    <t>VI THI HAI &amp; NGUYEN DO CUONG</t>
  </si>
  <si>
    <t>VU THI HOA &amp; TRAN VAN DAO</t>
  </si>
  <si>
    <t>LE THI LAN &amp; NGUYEN THANH SON</t>
  </si>
  <si>
    <t>LE THI NGAI &amp; NGUYEN VAN TRUNG</t>
  </si>
  <si>
    <t>LE THI XUAN &amp; NGUYEN HONG THUY</t>
  </si>
  <si>
    <t>NGO THI HONG</t>
  </si>
  <si>
    <t>NGO THI LAN HUONG &amp; NGUYEN XUAN TRUONG</t>
  </si>
  <si>
    <t>NGUYEN DUC HIEU</t>
  </si>
  <si>
    <t>NGUYEN HUU KHANG &amp; NGUYEN THI LUONG</t>
  </si>
  <si>
    <t>NGUYEN THI DIEP</t>
  </si>
  <si>
    <t>TRUONG THI THANH HUONG</t>
  </si>
  <si>
    <t>VO HOANG THANH HUONG</t>
  </si>
  <si>
    <t>BUI THI HUONG &amp; NGUYEN TIEN TRI</t>
  </si>
  <si>
    <t>BUI THI NGOC BANG &amp; KHUC DUY THANG</t>
  </si>
  <si>
    <t>DANG THI MINH NGHIA &amp; PHAN DINH TINH</t>
  </si>
  <si>
    <t>DUONG THI THU &amp; NGUYEN NGOC HIEU</t>
  </si>
  <si>
    <t>HO THI HUYEN TRANG</t>
  </si>
  <si>
    <t>HUYNH THI BACH MAI</t>
  </si>
  <si>
    <t>NGUYEN DUC NGHINH &amp; NGUYEN THI HUONG</t>
  </si>
  <si>
    <t>NGUYEN MANH HONG &amp; TRUONG THI TUYET</t>
  </si>
  <si>
    <t>NGUYEN PHUONG THAO</t>
  </si>
  <si>
    <t>NGUYEN THI HOA LE &amp; VU MINH NGOC</t>
  </si>
  <si>
    <t>NGUYEN THI KIM BINH &amp; PHAN VAN TUAN</t>
  </si>
  <si>
    <t>NGUYEN THI KIM HOA &amp; TRAN QUOC TUAN</t>
  </si>
  <si>
    <t>VU THAI SON</t>
  </si>
  <si>
    <t>NGUYEN THI HAI DUONG &amp; PHAN NGOC NAM</t>
  </si>
  <si>
    <t>DAM THI MAI HOA</t>
  </si>
  <si>
    <t>LE THI THANH THUY</t>
  </si>
  <si>
    <t>NGO QUOC HUNG &amp; PHAN THI BE</t>
  </si>
  <si>
    <t>NGUYEN THAI DUY</t>
  </si>
  <si>
    <t>NGUYEN THI HONG VAN  &amp; NGUYEN VAN KHIEM</t>
  </si>
  <si>
    <t>NGUYEN THI THUC &amp; DO XUAN HOA</t>
  </si>
  <si>
    <t>QUACH THI PHUNG XUAN</t>
  </si>
  <si>
    <t>TRAN QUOC DUNG &amp; LE THI THUY DUONG</t>
  </si>
  <si>
    <t>TRINH QUANG TOAN &amp; NGUYEN THI LUONG</t>
  </si>
  <si>
    <t>VU THUY LINH</t>
  </si>
  <si>
    <t>TRAN THI THU HONG &amp; VO THANH DAI</t>
  </si>
  <si>
    <t>NGUYEN NGOC NHU &amp; LAM CHI THANG</t>
  </si>
  <si>
    <t>PHAM THI THANH HIEN &amp; TO BAC DUNG</t>
  </si>
  <si>
    <t>VU THE KHANH &amp; NGUYEN THI HUONG</t>
  </si>
  <si>
    <t>VU NGOC</t>
  </si>
  <si>
    <t>DOAN NGOC VINH &amp; NGUYEN THI THOA</t>
  </si>
  <si>
    <t>NGUYEN THI KIM CUC</t>
  </si>
  <si>
    <t>LE THUY QUYNH &amp; NGUYEN HOANG MAI</t>
  </si>
  <si>
    <t>NGO MINH NGOC &amp; TRAN XUAN DIEU</t>
  </si>
  <si>
    <t>NGUYEN THI HAI AN</t>
  </si>
  <si>
    <t>DUONG THUY LOAN &amp; NGUYEN THONG NHAT</t>
  </si>
  <si>
    <t>DIEU THI MAI HOA &amp; NGUYEN DINH HAI</t>
  </si>
  <si>
    <t>DO VAN MINH  &amp; VU THI CAM HA</t>
  </si>
  <si>
    <t>DO THI KIM OANH &amp; NGUYEN NGOC QUE</t>
  </si>
  <si>
    <t>NGUYEN XUAN THAO &amp; PHAM THI QUYNH DYZAO</t>
  </si>
  <si>
    <t>PHAM CHI BINH &amp; TRAN THI THUY LINH</t>
  </si>
  <si>
    <t>DINH TIEN THANH</t>
  </si>
  <si>
    <t>NGUYEN THI THANH HUONG &amp; PHAM NGOC VAN</t>
  </si>
  <si>
    <t>TRAN THI MAI DUNG</t>
  </si>
  <si>
    <t>TRINH TRUNG CUONG</t>
  </si>
  <si>
    <t>NGUYEN NGOC HUYEN</t>
  </si>
  <si>
    <t>PHAM NGOC TAN &amp; NGUYEN THI LAN</t>
  </si>
  <si>
    <t>DUONG THI QUYNH HOA &amp; DAU DUY LAM</t>
  </si>
  <si>
    <t>NGUYEN THU UYEN &amp; TRAN VAN TAN</t>
  </si>
  <si>
    <t>TRAN THI THU HUONG &amp; PHAN THANH XUAN</t>
  </si>
  <si>
    <t>VO THI LOL  &amp; LE TRUNG TIN</t>
  </si>
  <si>
    <t>AN MINH TIEN</t>
  </si>
  <si>
    <t>TRAN THI THU HA &amp; PHAN HUU SAN</t>
  </si>
  <si>
    <t>LE THI THANH &amp; VU PHI TRUONG</t>
  </si>
  <si>
    <t>NGUYEN HUU TINH</t>
  </si>
  <si>
    <t>F.PLATINUM</t>
  </si>
  <si>
    <t>PLATINUM</t>
  </si>
  <si>
    <t>RUBY</t>
  </si>
  <si>
    <t>SHAPHIRE</t>
  </si>
  <si>
    <t>LAM KY HOTEL (SON TAY)</t>
  </si>
  <si>
    <t>MILITARY THEATRE</t>
  </si>
  <si>
    <t>NEW</t>
  </si>
  <si>
    <t>SWISS-BEL HOTEL</t>
  </si>
  <si>
    <t>THANH XUAN CULTURE</t>
  </si>
  <si>
    <t>NEW AGENCY</t>
  </si>
  <si>
    <t>OCEAN PARK</t>
  </si>
  <si>
    <t>TRA BONG HOTEL</t>
  </si>
  <si>
    <t>SARA HOTEL</t>
  </si>
  <si>
    <t>HAI PHONG CONFERENCE</t>
  </si>
  <si>
    <t>CONG DOAN HOTEL</t>
  </si>
  <si>
    <t>NINH KIEU HOTEL</t>
  </si>
  <si>
    <t>FAIFO HOTEL</t>
  </si>
  <si>
    <t>UBMTTQ</t>
  </si>
  <si>
    <t>HUU NGHI HOTEL</t>
  </si>
  <si>
    <t>HOANG GIA HOTEL</t>
  </si>
  <si>
    <t>SCIENCE &amp; SOCIETY INSTITUDE</t>
  </si>
  <si>
    <t>LAM NGUYEN</t>
  </si>
  <si>
    <t>30 HUNG VUONG BUILDING</t>
  </si>
  <si>
    <t>KIM MA THEATRE</t>
  </si>
  <si>
    <t>AU CO THEATRE</t>
  </si>
  <si>
    <t>HOANG GIA BUILDING</t>
  </si>
  <si>
    <t>TUAN BAO HOTEL</t>
  </si>
  <si>
    <t>DA LAT</t>
  </si>
  <si>
    <t>Paid by Dist.</t>
  </si>
  <si>
    <t>Supported by AW</t>
  </si>
  <si>
    <t>MONTHLY REPORT</t>
  </si>
  <si>
    <t>No. Session</t>
  </si>
  <si>
    <t>Exchange Rate</t>
  </si>
  <si>
    <t>USD</t>
  </si>
  <si>
    <t>Total</t>
  </si>
  <si>
    <t>MEETING SUBSIDIZATION OVERVIEW</t>
  </si>
  <si>
    <t xml:space="preserve">Select Month &gt;&gt;     </t>
  </si>
  <si>
    <t>MEETING SUBSIDIZATION IN DETAIL</t>
  </si>
  <si>
    <t>GOLF 3 HOTEL</t>
  </si>
  <si>
    <t>NGUYET CAM HOTEL</t>
  </si>
  <si>
    <t>SONG HOA RESTAURANT</t>
  </si>
  <si>
    <t>MY KHE HOTEL</t>
  </si>
  <si>
    <t>UBND MY XUYEN</t>
  </si>
  <si>
    <t>XUAN KHANH HOTEL</t>
  </si>
  <si>
    <t>SAIGONTOURANCE HOTEL</t>
  </si>
  <si>
    <t>THANH TAN RERORT</t>
  </si>
  <si>
    <t>AQUA PLACE</t>
  </si>
  <si>
    <t>TRUONG VAN BINH &amp; NGO NGOC TRAM</t>
  </si>
  <si>
    <t>DONG XANH HOTEL</t>
  </si>
  <si>
    <t>DNTN TOAN NGOC</t>
  </si>
  <si>
    <t>ASEAN HOTEL</t>
  </si>
  <si>
    <t>VAN HOA HOTEL</t>
  </si>
  <si>
    <t>VU THI PHUONG ANH</t>
  </si>
  <si>
    <t>NGUYEN THE HUNG &amp; KHUAT THI VAN ANH</t>
  </si>
  <si>
    <t>AN LAC HOTEL</t>
  </si>
  <si>
    <t>TRUNG TAM PHU NU PHAT TRIEN</t>
  </si>
  <si>
    <t>NGUYEN XUAN SON &amp; NGUYEN THI DINH</t>
  </si>
  <si>
    <t>NGUYEN THI BICH NGOC &amp; HOANG LAN</t>
  </si>
  <si>
    <t>VU TRU BAR</t>
  </si>
  <si>
    <t>NGUYEN TRONG MINH QUAN</t>
  </si>
  <si>
    <t>LE THI THU TRANG &amp; NGUYEN DUC HAI</t>
  </si>
  <si>
    <t>VU DUC TAI</t>
  </si>
  <si>
    <t>QUYNH LUU PLAZA</t>
  </si>
  <si>
    <t>MOVENPICK</t>
  </si>
  <si>
    <t>CHU HUYEN TRAM</t>
  </si>
  <si>
    <t>TAN CANG</t>
  </si>
  <si>
    <t>NGUYEN THI HOA</t>
  </si>
  <si>
    <t>NGUYEN THANH BINH</t>
  </si>
  <si>
    <t>LUU TU TAM</t>
  </si>
  <si>
    <t>NGUYEN DUC TUAN &amp; CHUNG THAI HANG</t>
  </si>
  <si>
    <t>54 PHAM VAN NGHI-DA NANG</t>
  </si>
  <si>
    <t>KIM LIEN</t>
  </si>
  <si>
    <t>XUAN KHANH RESTAURANT</t>
  </si>
  <si>
    <t>LE THI HAO &amp; LE DINH THA</t>
  </si>
  <si>
    <t>NGUYEN TAT TUNG</t>
  </si>
  <si>
    <t>AU CO HOTEL HAI DUONG</t>
  </si>
  <si>
    <t>TRAN THU HA &amp; PHAM THANH TUNG</t>
  </si>
  <si>
    <t>NGUYEN THI HUONG</t>
  </si>
  <si>
    <t>MEDIA HOTEL</t>
  </si>
  <si>
    <t>VICTORY RESTAURANT</t>
  </si>
  <si>
    <t>QUAN UY NINH KIEU</t>
  </si>
  <si>
    <t>PHAM THI XUAN HUONG &amp; TRUONG CONG THU</t>
  </si>
  <si>
    <t>NGUYEN TIEN CUONG</t>
  </si>
  <si>
    <t>DANG THI HUE &amp; TRAN THANH BINH</t>
  </si>
  <si>
    <t>LA THI KIM OANH &amp; LUU HONG QUAN</t>
  </si>
  <si>
    <t>TRAN THI KIM OANH &amp; NGUYEN HAI DUONG</t>
  </si>
  <si>
    <t>DONG A 2 HOTEL</t>
  </si>
  <si>
    <t>NGUYEN THI BICH HONG &amp; NGUYEN CANH THANG</t>
  </si>
  <si>
    <t>NGUYEN LUONG HANH &amp; DUONG VAN THUAN</t>
  </si>
  <si>
    <t>CONG DOAN CAN THO HOTEL</t>
  </si>
  <si>
    <t>PHAN THI THUY &amp; NGUYEN VAN QUE</t>
  </si>
  <si>
    <t>TRAN THI HONG &amp; NGUYEN XUAN TRONG</t>
  </si>
  <si>
    <t>NGHE AN CULTURE</t>
  </si>
  <si>
    <t>PHAM MINH TUAN</t>
  </si>
  <si>
    <t>DANABOOK</t>
  </si>
  <si>
    <t>DANG VIET THANG &amp; TRAN THU PHUONG</t>
  </si>
  <si>
    <t>THU HUONG HOTEL</t>
  </si>
  <si>
    <t>BEST WESTERN HOTEL</t>
  </si>
  <si>
    <t>THUY NGA RESTAURANT</t>
  </si>
  <si>
    <t>TRAN LE PHONG &amp; CAN PHU THANH</t>
  </si>
  <si>
    <t>NGUYEN VAN HAI &amp; NGUYEN THI QUYNH ANH</t>
  </si>
  <si>
    <t>BUI THI THANH VAN &amp; LE VAN THANH</t>
  </si>
  <si>
    <t>LE DUC DONG &amp; LE THI VAN</t>
  </si>
  <si>
    <t>TRUONG VAN THICH</t>
  </si>
  <si>
    <t>HOANG HUONG LY</t>
  </si>
  <si>
    <t>NGUYEN THE CUONG &amp; LA MINH NGOC</t>
  </si>
  <si>
    <t>PAID 100% BY DIST</t>
  </si>
  <si>
    <t>NGUYEN SI HIEP</t>
  </si>
  <si>
    <t>TRAN HUU TINH</t>
  </si>
  <si>
    <t>CU THI BICH NGOC &amp; LUU TRUNG THANH</t>
  </si>
  <si>
    <t>NGUYEN THI LUA</t>
  </si>
  <si>
    <t>NGUYEN THI KIM HOA &amp; NGO MINH TRI</t>
  </si>
  <si>
    <t>DANG THI HONG LINH &amp; TRAN KIEU CHUNG</t>
  </si>
  <si>
    <t>NGUYEN THUY HUNG</t>
  </si>
  <si>
    <t>DO KIM PHUONG &amp; NGUYEN HUU BAO</t>
  </si>
  <si>
    <t>PHAM THI HAI &amp; DUONG HONG QUANG</t>
  </si>
  <si>
    <t>NGUYEN PHU THINH</t>
  </si>
  <si>
    <t>VU THI THU HANG &amp; VU QUANG THIEN</t>
  </si>
  <si>
    <t>GIANG THI THAM</t>
  </si>
  <si>
    <t>HOANG NGAN HA &amp; TRAN THY LINH NHAT</t>
  </si>
  <si>
    <t>LAM PHUONG YEN</t>
  </si>
  <si>
    <t>NGUYEN HUY HOAN &amp; LE THI HA LINH</t>
  </si>
  <si>
    <t>VO KIM SON</t>
  </si>
  <si>
    <t>HUYNH LE HOANG QUAN &amp; NGUYEN THI THU THUY</t>
  </si>
  <si>
    <t>NGUYEN HOANG THANH &amp; BUI THI HOA</t>
  </si>
  <si>
    <t>NGUYEN THU NGA &amp; LE HIEU</t>
  </si>
  <si>
    <t>NGUYEN THI BICH THUY</t>
  </si>
  <si>
    <t>NGUYEN THI LANH &amp; NGUYEN HUU TAM</t>
  </si>
  <si>
    <t>TRUONG THANH TUNG &amp; TRIEU THI TRUC LINH</t>
  </si>
  <si>
    <t>NGUYEN THI DIEM HAN &amp; NGUYEN CHI BINH</t>
  </si>
  <si>
    <t>DUONG VAN VUONG</t>
  </si>
  <si>
    <t>TA VAN HUNG</t>
  </si>
  <si>
    <t>NGUYEN MINH CANH</t>
  </si>
  <si>
    <t>Column1</t>
  </si>
  <si>
    <t>DOAN HOANG NAM</t>
  </si>
  <si>
    <t>TRAN THI THU AN &amp; NGUYEN QUOC DUNG</t>
  </si>
  <si>
    <t>NGO VAN AN &amp; TRUONG THI DIEU THU</t>
  </si>
  <si>
    <t>LE THI LIEN &amp; LE VAN TIEN</t>
  </si>
  <si>
    <t xml:space="preserve">LE HONG CAM </t>
  </si>
  <si>
    <t>NGUYEN THI ANH DAO &amp; HO HOANG VU</t>
  </si>
  <si>
    <t>LUU DINH KHOA</t>
  </si>
  <si>
    <t>NGUYEN TRUONG GIANG</t>
  </si>
  <si>
    <t>NGUYEN VIET THANH &amp; NGUYEN VAN SAN</t>
  </si>
  <si>
    <t>DANG HONG HANH &amp; DINH BAO LONG</t>
  </si>
  <si>
    <t>PHAM THI THANH HA &amp; NGUYEN VIET HA</t>
  </si>
  <si>
    <t>TRAN ANH TUAN</t>
  </si>
  <si>
    <t>NGUYEN THI PHUONG THANH &amp; NGUYEN HOANG QUOC</t>
  </si>
  <si>
    <t>PHAM THI HOAI THU</t>
  </si>
  <si>
    <t>LUU THI KHUYEN</t>
  </si>
  <si>
    <t>DO THI NU &amp; VU MANH HUNG</t>
  </si>
  <si>
    <t>HO THI MINH THU &amp; NGUYEN TIEN MINH</t>
  </si>
  <si>
    <t>NGO NGOC TUYET &amp; NGUYEN VAN SON</t>
  </si>
  <si>
    <t>NGUYEN TRAN THANH &amp; LUONG THU HAU</t>
  </si>
  <si>
    <t>THAI THANH PHUONG</t>
  </si>
  <si>
    <t>TRAN THI THUAN &amp; DINH XUAN BINH</t>
  </si>
  <si>
    <t>LE HOANG</t>
  </si>
  <si>
    <t>LE THI HA &amp; TRAN DINH HUONG</t>
  </si>
  <si>
    <t>CHUNG THI THUY HA &amp; CAO VAN GIO</t>
  </si>
  <si>
    <t>VO HOANG OANH &amp; HO NGOC LUU</t>
  </si>
  <si>
    <t>TRINH DOAN TRUONG GIANG &amp; NGUYEN THI PHUONG THAO</t>
  </si>
  <si>
    <t>NGUYEN HAO KIET &amp; TRAN THANH THUY</t>
  </si>
  <si>
    <t>PHAM BAO THO &amp; NGUYEN THANH TRUNG</t>
  </si>
  <si>
    <t>NGUYEN THI MINH PHUONG &amp; PHAM THANH LUU</t>
  </si>
  <si>
    <t>VO VAN BINH &amp; LUONG THI HONG GAM</t>
  </si>
  <si>
    <t>PHAM THI HOAI THU &amp; LE SY CUONG</t>
  </si>
  <si>
    <t>PHAM THI PHUONG THAO &amp; PHAM VAN VINH</t>
  </si>
  <si>
    <t>NGUYEN TRONG LINH</t>
  </si>
  <si>
    <t>TA THI MAI HOA &amp; NGUYEN THANH TUNG</t>
  </si>
  <si>
    <t>NGUYEN HONG NHUNG &amp; TRAN HAI DUONG</t>
  </si>
  <si>
    <t>PHAM THANH TUNG</t>
  </si>
  <si>
    <t>LE DUC MINH</t>
  </si>
  <si>
    <t>VU THI NHU QUYNH &amp; PHAN NHAT LINH</t>
  </si>
  <si>
    <t>NGUYEN THI THU PHUONG &amp; TRINH MINH TIEN</t>
  </si>
  <si>
    <t>DANG THI NGOC BICH &amp; TRUONG HONG PHUC</t>
  </si>
  <si>
    <t>NGO THI THUAN</t>
  </si>
  <si>
    <t>NGUYEN THI THUY &amp; NGO ICH BICH</t>
  </si>
  <si>
    <t>NGUYEN THI THUY &amp; PHAM NGOC TU</t>
  </si>
  <si>
    <t>TRAN THI TUYET</t>
  </si>
  <si>
    <t>LE THI KIM LOAN &amp; NGUYEN DANG NINH</t>
  </si>
  <si>
    <t>NGUYEN VAN HOA &amp; BUI THI MINH THU</t>
  </si>
  <si>
    <t>NGUYEN QUOC CUONG &amp; PHAM THI THU NGA</t>
  </si>
  <si>
    <t>NGUYEN THI NGA &amp; VU MAI PHONG</t>
  </si>
  <si>
    <t>NGUYEN THI CUONG &amp; HO SY DANH</t>
  </si>
  <si>
    <t>DAO VAN NAM</t>
  </si>
  <si>
    <t>PHAM THI DUC &amp; NGUYEN VAN NHIEN</t>
  </si>
  <si>
    <t>BAC NINH</t>
  </si>
  <si>
    <t>THANH HOA</t>
  </si>
  <si>
    <t>LAM DONG</t>
  </si>
  <si>
    <t>BINH DUONG</t>
  </si>
  <si>
    <t>BAC LIEU</t>
  </si>
  <si>
    <t>QUANG NAM</t>
  </si>
  <si>
    <t>QUANG NGAI</t>
  </si>
  <si>
    <t>NINH BINH</t>
  </si>
  <si>
    <t>LANG SON</t>
  </si>
  <si>
    <t>TAY NINH</t>
  </si>
  <si>
    <t>Sep</t>
  </si>
  <si>
    <t>Oct</t>
  </si>
  <si>
    <t>Nov</t>
  </si>
  <si>
    <t>Dec</t>
  </si>
  <si>
    <t>Jan</t>
  </si>
  <si>
    <t>Feb</t>
  </si>
  <si>
    <t>SEP</t>
  </si>
  <si>
    <t>1500-2000pax</t>
  </si>
  <si>
    <t>FDI</t>
  </si>
  <si>
    <t>EDC</t>
  </si>
  <si>
    <t>YEN BAI</t>
  </si>
  <si>
    <t>HA TINH</t>
  </si>
  <si>
    <t>HA TAY</t>
  </si>
  <si>
    <t>TAT MY LAN &amp; NGO NGUYEN</t>
  </si>
  <si>
    <t>NGUYEN THI THAO &amp; DO HOANG HA</t>
  </si>
  <si>
    <t>SON LA</t>
  </si>
  <si>
    <t>BA RIA - VUNG TAU</t>
  </si>
  <si>
    <t>LONG AN</t>
  </si>
  <si>
    <t xml:space="preserve">HN </t>
  </si>
  <si>
    <t>TRAN THI QUYNH LOAN &amp; HA NGOC TUAN</t>
  </si>
  <si>
    <t>TRUONG THI HAI LY &amp; DANG CONG KIEN</t>
  </si>
  <si>
    <t>VU VAN YEN &amp; BUI  NGUYEN TUNG</t>
  </si>
  <si>
    <t>NGUYEN HOANG DIEP &amp; HOANG BICH NGAN</t>
  </si>
  <si>
    <t>HA NAM</t>
  </si>
  <si>
    <t>BINH DINH</t>
  </si>
  <si>
    <t>DONG THAP</t>
  </si>
  <si>
    <t>NGUYEN THI LAN CHI &amp; TRAN VAN NGHIA</t>
  </si>
  <si>
    <t>DUONG THI THANH HUONG &amp; NGUYEN DUC LONG</t>
  </si>
  <si>
    <t>TRAN THI MAI SEN &amp; NGUYEN VAN TANG</t>
  </si>
  <si>
    <t>LE ANH TUAN &amp; NGUYEN THI HUONG</t>
  </si>
  <si>
    <t>NGUYEN LE HUY</t>
  </si>
  <si>
    <t>LE THI HONG DIEP</t>
  </si>
  <si>
    <t>HUYNH THI THUY HONG &amp; NGUYEN HAI</t>
  </si>
  <si>
    <t>BUI THI MY HANH &amp; NGUYEN VAN CHINH</t>
  </si>
  <si>
    <t>HA CHI TRAN</t>
  </si>
  <si>
    <t>DAO KHA HUE</t>
  </si>
  <si>
    <t>NGUYEN DAC BAO &amp; DAO KIM DUYEN</t>
  </si>
  <si>
    <t>PHUONG VAN OANH &amp; CAO THI PHUONG MAI</t>
  </si>
  <si>
    <t>LE THI MINH TUYET &amp; CAO VAN MINH</t>
  </si>
  <si>
    <t>TRAN THI PHUONG &amp; NGUYEN THE HIEN</t>
  </si>
  <si>
    <t>TRAN DUC THUAN &amp; TRAN THI LIEN</t>
  </si>
  <si>
    <t>KHUAT DUY THOAI &amp; NGUYEN THI HAO</t>
  </si>
  <si>
    <t>NGUYEN THI THU HUONG &amp; VU VAN HUNG</t>
  </si>
  <si>
    <t>LUU THU HUONG &amp; VUONG TIEN DINH</t>
  </si>
  <si>
    <t>DANG THI BA MINH &amp; NGUYEN NGOC DIEP</t>
  </si>
  <si>
    <t>TRUONG HONG HUAN &amp; LA THI Y YEN</t>
  </si>
  <si>
    <t>PHAN THI LUAN &amp; NGUYEN TAN TRO</t>
  </si>
  <si>
    <t>NGUYEN THANH TRA &amp; LE MINH DUC</t>
  </si>
  <si>
    <t>Update 22Sep'11</t>
  </si>
  <si>
    <t>NGUYEN THI NINH KIEU</t>
  </si>
  <si>
    <t>PHAM THI HUYEN &amp; PHAM KHAC TANG</t>
  </si>
  <si>
    <t>PHAM THI THU &amp; NGUYEN DINH SON</t>
  </si>
  <si>
    <t>QUANG TRI</t>
  </si>
  <si>
    <t>PHAN HONG LUONG</t>
  </si>
  <si>
    <t>LE TRAN LIEN PHUONG</t>
  </si>
  <si>
    <t>TRUONG HUYNH NGOC ANH &amp; TRAN THI THUY CHI</t>
  </si>
  <si>
    <t>NINH THUAN</t>
  </si>
  <si>
    <t>NGUYEN THI THU THUY &amp; VU MANH HOANG</t>
  </si>
  <si>
    <t>VU THI HUYEN &amp; NGHIEM XUAN CUONG</t>
  </si>
  <si>
    <t>LE PHUONG</t>
  </si>
  <si>
    <t>NGUYEN QUY BINH</t>
  </si>
  <si>
    <t>NGUYEN XUAN CU &amp; DUONG THI THUY HANG</t>
  </si>
  <si>
    <t>NGUYEN QUANG NHAT</t>
  </si>
  <si>
    <t>LE THI NGOC DUNG &amp; HOANG MAI HUNG</t>
  </si>
  <si>
    <t>TRAN THI XAM</t>
  </si>
  <si>
    <t>NGUYEN DONG HAI &amp; PHAM THI HIEN THAO</t>
  </si>
  <si>
    <t>PHAN HOANG VU &amp; TRAN THANH THI THU THUY</t>
  </si>
  <si>
    <t>NGUYEN THI ANH &amp; TRAN VAN CUONG</t>
  </si>
  <si>
    <t>BUI DUY KET &amp; LE THI HA</t>
  </si>
  <si>
    <t>LE TIEU MI &amp; HA MINH QUANG</t>
  </si>
  <si>
    <t>PHUNG THI KIM HUE &amp; TRAN MANH VU</t>
  </si>
  <si>
    <t>NGUYEN THI NGOC PHUONG &amp; PHAM CHI THANH</t>
  </si>
  <si>
    <t>NGO HAI DANG</t>
  </si>
  <si>
    <t>PHAM THI GAM &amp; NGO XUAN TAM</t>
  </si>
  <si>
    <t>NGUYEN DUC QUYNH</t>
  </si>
  <si>
    <t>NGUYEN KIM LAN &amp; NGUYEN XUAN THUC</t>
  </si>
  <si>
    <t>NGUYEN VAN QUI &amp; LE THI HONG CHI</t>
  </si>
  <si>
    <t>LE TRAN LIEN HUONG &amp; TRUONG CONG VU</t>
  </si>
  <si>
    <t>NGUYEN THI THANH TUYET &amp; NGUYEN DANG HUNG</t>
  </si>
  <si>
    <t>NGUYEN THI DO &amp; NGUYEN HONG QUANG</t>
  </si>
  <si>
    <t>NGUYEN THI HAO &amp; NGUYEN NGOC DUONG</t>
  </si>
  <si>
    <t>DINH THI THU HIEN &amp; LE MINH DOAN</t>
  </si>
  <si>
    <t xml:space="preserve">TRAN HIEU DUY </t>
  </si>
  <si>
    <t>NGUYEN HUNG BINH</t>
  </si>
  <si>
    <t>DINH TRAN DUNG &amp; LE THI ANH HONG</t>
  </si>
  <si>
    <t>PHAM DUY MINH &amp; LE THI QUYNH HOA</t>
  </si>
  <si>
    <t>TRUONG MANH CUONG &amp; PHAM THI MINH</t>
  </si>
  <si>
    <t>NGUYEN HO BAO NGAN</t>
  </si>
  <si>
    <t>TRAN THI HOANG HOA &amp; LE TAN PHUNG</t>
  </si>
  <si>
    <t xml:space="preserve">NGUYEN VAN CHUNG &amp; CA THI NHUNG </t>
  </si>
  <si>
    <t>BUI THI NHUNG &amp; BUI THE HUAN</t>
  </si>
  <si>
    <t>BUI THUY HA &amp; NGUYEN HUY HOANG</t>
  </si>
  <si>
    <t>BUI VINH TUONG &amp; DUONG THI LAI</t>
  </si>
  <si>
    <t>Report</t>
  </si>
  <si>
    <t>LE ANH TUAN &amp; DO THANH HUYEN</t>
  </si>
  <si>
    <t>NGUYEN THI THOM &amp; TRAN BA CHI</t>
  </si>
  <si>
    <t>DANG THI LUU &amp; PHAN TRONG MINH</t>
  </si>
  <si>
    <t>VINH LONG</t>
  </si>
  <si>
    <t>TRAN PHOI PHUONG &amp; NGO HA ANH SON</t>
  </si>
  <si>
    <t>PHUNG TU TRINH</t>
  </si>
  <si>
    <t>TON NU THUY DINH &amp; DO VAN CUONG</t>
  </si>
  <si>
    <t>NGUYEN THANH TRUNG &amp; NGUYEN THI THU HIEN</t>
  </si>
  <si>
    <t>LE THI YEN ANH &amp; DANG THIN TIEN</t>
  </si>
  <si>
    <t>BUI THI THANH MINH &amp; NGUYEN XUAN QUAN</t>
  </si>
  <si>
    <t>NGUYEN THI NHUNG &amp; HOANG CHIEN HUNG</t>
  </si>
  <si>
    <t>LE THI NHI &amp; TRUONG MINH HA</t>
  </si>
  <si>
    <t xml:space="preserve">TRAN THI BINH &amp; NGUYEN VAN TUE </t>
  </si>
  <si>
    <t>NGUYEN THI LOAN</t>
  </si>
  <si>
    <t>NGUYEN NU KIEU VINH &amp; PHAM ANH DUNG</t>
  </si>
  <si>
    <t>PHAM NGOC BICH &amp; NGUYEN HUYNH KHA</t>
  </si>
  <si>
    <t>VU THI TAM &amp; LE HOANG HAI</t>
  </si>
  <si>
    <t>NGUYEN THI KIM THUY &amp; HOANG TRONG THANG</t>
  </si>
  <si>
    <t>DAO VAN NAM &amp; LE THI THU TRANG</t>
  </si>
  <si>
    <t>NGUYEN THI BICH THAO &amp; NGUYEN QUOC THIN</t>
  </si>
  <si>
    <t>NGUYEN THI NGUYET NGA &amp; LE MINH TRI</t>
  </si>
  <si>
    <t>VU THI THUONG &amp; NGUYEN VAN BAY</t>
  </si>
  <si>
    <t>Invoice</t>
  </si>
  <si>
    <t>NGUYEN NGOC DIEP &amp; CAO THI PHUC</t>
  </si>
  <si>
    <t>LE TAN THANH</t>
  </si>
  <si>
    <t>LE THI MAI HUONG &amp; PHAN VAN NHAN</t>
  </si>
  <si>
    <t>PHAM THI BICH HOA &amp; TRUONG CAO NGO</t>
  </si>
  <si>
    <t>NGUYEN THI BICH PHUONG &amp; NGUYEN DUC QUANG</t>
  </si>
  <si>
    <t xml:space="preserve"> </t>
  </si>
  <si>
    <t>TRAN PHAP</t>
  </si>
  <si>
    <t>NGUYEN THANH HIEN &amp; CAO MINH TAN</t>
  </si>
  <si>
    <t>KIM NHAT LE</t>
  </si>
  <si>
    <t>TRAN THI THANH TAM</t>
  </si>
  <si>
    <t>DANG VAN TAI</t>
  </si>
  <si>
    <t>LUC A DIN &amp; NGUYEN THI OANH</t>
  </si>
  <si>
    <t>NGUYEN PHUONG THEU &amp; NGUYEN VIET QUANG</t>
  </si>
  <si>
    <t>MAI THI HOA &amp; VU DUC VIEN</t>
  </si>
  <si>
    <t>NGUYEN THI CAM TU &amp; HUYNH BAO CHAU</t>
  </si>
  <si>
    <t>PHAM THI HAO &amp; NGUYEN HUU MANH</t>
  </si>
  <si>
    <t>BINH PHUOC</t>
  </si>
  <si>
    <t>TRUONG THI MY DIEP &amp; NGUYEN TAN TUYEN</t>
  </si>
  <si>
    <t>TRAN THI HANH &amp; LE VAN THUONG</t>
  </si>
  <si>
    <t>VO THI LAI &amp; NGUYEN VAN VIEN</t>
  </si>
  <si>
    <t>LY TRUONG HAM &amp; VUONG MY QUYEN</t>
  </si>
  <si>
    <t>TRAN THI THANH THUY</t>
  </si>
  <si>
    <t>TO THI THUY</t>
  </si>
  <si>
    <t>LE QUANG THAI</t>
  </si>
  <si>
    <t>NGUYEN THI MINH &amp; NGUYEN VAN CHUNG</t>
  </si>
  <si>
    <t>NGUYEN THI THUY HANG &amp; LE BAO CUONG</t>
  </si>
  <si>
    <t>NGUYEN THI THUY HUONG &amp; NGUYEN TA NGO</t>
  </si>
  <si>
    <t>FEB</t>
  </si>
  <si>
    <t>VAN THI THANH NU</t>
  </si>
  <si>
    <t>TRAN THI NGOC BICH &amp; LUONG DINH NHUAN</t>
  </si>
  <si>
    <t xml:space="preserve"> NGUYEN THI HUE &amp; TRUONG TAN BON</t>
  </si>
  <si>
    <t>QUANG BINH</t>
  </si>
  <si>
    <t>TRAN THI KIM DUNG &amp; MAI XUAN TIEN</t>
  </si>
  <si>
    <t xml:space="preserve"> NGUYEN THI VIET PHUONG</t>
  </si>
  <si>
    <t xml:space="preserve"> PHUNG TAN THANH &amp; NGUYEN THI TUONG VI</t>
  </si>
  <si>
    <t xml:space="preserve"> NGUYEN VIET HUNG &amp; NGUYEN THI ANH </t>
  </si>
  <si>
    <t xml:space="preserve">NGUYEN NGOC LINH &amp; PHI THI MAI VY </t>
  </si>
  <si>
    <t>DAO NGOC QUYNH</t>
  </si>
  <si>
    <t xml:space="preserve">HUYNH THI THUY AN &amp; BUI TAN HA </t>
  </si>
  <si>
    <t xml:space="preserve"> NGUYEN VAN VEN &amp; NGUYEN THI NGOI </t>
  </si>
  <si>
    <t xml:space="preserve">TRAN VAN TRI &amp; LE THI KIM LIEN </t>
  </si>
  <si>
    <t xml:space="preserve"> HUYNH MINH THIEN &amp; HONG THI THU QUYEN </t>
  </si>
  <si>
    <t>NGUYEN THI BICH HAI &amp; NGUYEN PHAM CHANH</t>
  </si>
  <si>
    <t>NGUYEN THI BICH TRAM &amp; NGUYEN DUY CONG</t>
  </si>
  <si>
    <t xml:space="preserve"> LE THU HUONG &amp; DINH XUAN THIN </t>
  </si>
  <si>
    <t xml:space="preserve"> NGUYEN THU THUY &amp; DUONG THANH HAI</t>
  </si>
  <si>
    <t>DUONG THI HOANG HA &amp; NGUYEN DUC HIEP</t>
  </si>
  <si>
    <t xml:space="preserve">DUONG TRUNG HIEU &amp; LE THI THUY </t>
  </si>
  <si>
    <t>TRAN THI TRANG &amp; LE DINH NGHIA</t>
  </si>
  <si>
    <t xml:space="preserve"> NGUYEN DUC TUAN &amp; TRAN TO QUYNH </t>
  </si>
  <si>
    <t xml:space="preserve"> PHAM THI PHUONG &amp; NGUYEN DUC TOAN </t>
  </si>
  <si>
    <t>NGUYEN THANH TUNG &amp; TRAN DINH NGOC THUY</t>
  </si>
  <si>
    <t xml:space="preserve"> NGUYEN HUU PHUONG &amp; TRAN THI TUYET </t>
  </si>
  <si>
    <t xml:space="preserve"> PHAM THI HOA MAI &amp; TRAN VAN LUAN  </t>
  </si>
  <si>
    <t>NGUYEN DUY HIEU &amp; NGUYEN THI LAI</t>
  </si>
  <si>
    <t>NGUYEN THI TINH &amp; CAO DAC TIEP</t>
  </si>
  <si>
    <t>NGUYEN TUAN ANH &amp; NGUYEN THI THIEN</t>
  </si>
  <si>
    <t>PHAM DUC NIEN &amp; DANG THI LOAN</t>
  </si>
  <si>
    <t>TRAN THI THANH XUAN</t>
  </si>
  <si>
    <t>NGUYEN THANH HANG</t>
  </si>
  <si>
    <t>TON NU THUY MY &amp; TRUONG TAN HOANG</t>
  </si>
  <si>
    <t xml:space="preserve">TRAN THI QUY &amp; HOANG VAN XIN </t>
  </si>
  <si>
    <t>NGUYEN THI THINH &amp; DINH VAN CHAC</t>
  </si>
  <si>
    <t>NGUYEN THI HONG HANH &amp; TRUONG VAN HIEU</t>
  </si>
  <si>
    <t>NGUYEN THI MAI PHUONG &amp; NGUYEN XUAN HUNG</t>
  </si>
  <si>
    <t>18H - 22H</t>
  </si>
  <si>
    <t>Organise</t>
  </si>
  <si>
    <t>Receipts</t>
  </si>
  <si>
    <t>NOT YET CONTRACT</t>
  </si>
  <si>
    <t>8H - 12H</t>
  </si>
  <si>
    <t>NGUYEN THI HONG &amp; TRINH TRONG THUAN</t>
  </si>
  <si>
    <t>13H - 17H</t>
  </si>
  <si>
    <t>HO THI NHU BAO &amp; NGUYEN NGOC THANG</t>
  </si>
  <si>
    <t>DINH THI MUI</t>
  </si>
  <si>
    <t>NGUYEN THI NHAN &amp; HA DUC DUY</t>
  </si>
  <si>
    <t>VI THI DO &amp; CA XUAN LY</t>
  </si>
  <si>
    <t>PHAM THI QUYNH LAM &amp; NGUYEN XUAN TUNG</t>
  </si>
  <si>
    <t>NGUYEN VAN DUY</t>
  </si>
  <si>
    <t>NGUYEN DUC UY &amp; NGUYEN THI HA</t>
  </si>
  <si>
    <t>NGUYEN THI VIET HA &amp; LE TIEN NGOC</t>
  </si>
  <si>
    <t>PHAM THI HUONG GIANG &amp; NGUYEN VAN KHIEU</t>
  </si>
  <si>
    <t>LE THI HANH</t>
  </si>
  <si>
    <t>HOANG LE DUY KHANH</t>
  </si>
  <si>
    <t>LE THI ANH TUYET</t>
  </si>
  <si>
    <t>QUEEN PLAZA</t>
  </si>
  <si>
    <t>SAO MAI HOTEL</t>
  </si>
  <si>
    <t>VO TRONG LUYEN &amp; PHAN THI HONG THUY DUY</t>
  </si>
  <si>
    <t>NGUYEN NGOC LINH &amp; PHI THI MAI VY</t>
  </si>
  <si>
    <t>LE THI MY HUONG</t>
  </si>
  <si>
    <t>PHAM VAN CONG &amp; NGUYEN NHU ANH VAN</t>
  </si>
  <si>
    <t>LE TAN LOC &amp; NGUYEN KIM PHUNG</t>
  </si>
  <si>
    <t>PHAM THI HONG &amp; BUI VAN NHAT</t>
  </si>
  <si>
    <t>VO QUOC DOAN &amp; MAI NGUYEN THUY DIEM THUY</t>
  </si>
  <si>
    <t>NGUYEN THI DUOC &amp; NGUYEN QUANG KHAI</t>
  </si>
  <si>
    <t>HO THI BICH NGA &amp; NGUYEN THANH HAI</t>
  </si>
  <si>
    <t>DAC LAC</t>
  </si>
  <si>
    <t>NGUYEN VIET DUNG</t>
  </si>
  <si>
    <t>NGUYEN THI MINH HIEN &amp; NGUYEN VAN LONG</t>
  </si>
  <si>
    <t>NGUYEN THI QUE</t>
  </si>
  <si>
    <t>NGUYEN MINH DUONG &amp; LU THI BICH HANH</t>
  </si>
  <si>
    <t>NGUYEN THANH CONG &amp; NGUYEN THI HANG</t>
  </si>
  <si>
    <t>KHANH HOA</t>
  </si>
  <si>
    <t>NGO THI THUY QUYNH</t>
  </si>
  <si>
    <t>TRUONG HOANG HIEP</t>
  </si>
  <si>
    <t>TRAN THI KIM OANH</t>
  </si>
  <si>
    <t>NGUYEN THI MY ANH &amp; NGUYEN THANH THAI</t>
  </si>
  <si>
    <t>NGUYEN THI PHUONG &amp; NGUYEN HONG PHUONG</t>
  </si>
  <si>
    <t>TRAN VAN DUNG &amp; NGUYEN THI HAI YEN</t>
  </si>
  <si>
    <t>HOANG VAN DUNG &amp; NGAC THI THU HUONG</t>
  </si>
  <si>
    <t>CAO THI THUY VAN &amp; TRAN QUANG VINH</t>
  </si>
  <si>
    <t>14H - 18H</t>
  </si>
  <si>
    <t>VINH PHUC</t>
  </si>
  <si>
    <t>LE THUY VAN</t>
  </si>
  <si>
    <t>LE THUY LINH</t>
  </si>
  <si>
    <t>PAID 100% BY AMWAY</t>
  </si>
  <si>
    <t>NGUYEN THI THANH HOA &amp; NGUYEN VAN CHINH</t>
  </si>
  <si>
    <t>NGUYEN THI MAI KHANH</t>
  </si>
  <si>
    <t>PHAN TRA MY &amp; NGUYEN TUNG GIANG</t>
  </si>
  <si>
    <t>SY XUONG LAY MY</t>
  </si>
  <si>
    <t>LE CONG TU</t>
  </si>
  <si>
    <t xml:space="preserve">TRIEU THI NGHIEM </t>
  </si>
  <si>
    <t>NGUYEN THI HOP</t>
  </si>
  <si>
    <t>NGUYEN THI AN</t>
  </si>
  <si>
    <t>PHAM TIEN DUNG &amp; NGUYEN THI CHUNG</t>
  </si>
  <si>
    <t>NGO THI THU THUY &amp; NGUYEN CONG HIEN</t>
  </si>
  <si>
    <t>NGUYEN THI THUY VI</t>
  </si>
  <si>
    <t>TRINH THI HUE NUONG &amp; CHU DINH THE</t>
  </si>
  <si>
    <t>TRAN THI BICH HA &amp; NGUYEN MINH SON</t>
  </si>
  <si>
    <t xml:space="preserve">NGUYEN VAN QUYNH &amp; NGUYEN THANH LAN </t>
  </si>
  <si>
    <t>DINH PHU LAN &amp; VO THI BICH LANH</t>
  </si>
  <si>
    <t>LE THI HUE &amp; HUYNH VAN QUEN</t>
  </si>
  <si>
    <t xml:space="preserve">NGUYEN DINH TAI &amp; LE THI THANH HANG </t>
  </si>
  <si>
    <t xml:space="preserve">NGUYEN DANG KHOA </t>
  </si>
  <si>
    <t>PHAM TUAN PHONG &amp; NGUYEN THI NGAN</t>
  </si>
  <si>
    <t xml:space="preserve">PHAM THI PHUONG LAM </t>
  </si>
  <si>
    <t>NGUYEN PHAN CONG BANG</t>
  </si>
  <si>
    <t>VAN THI NHU Y &amp; THAI CHI HIEN</t>
  </si>
  <si>
    <t>TRINH MINH PHAP</t>
  </si>
  <si>
    <t>NGUYEN THI NGOC HIEN &amp; TRAN VAN HOI</t>
  </si>
  <si>
    <t>GIA LAI</t>
  </si>
  <si>
    <t>DOAN THI DEP &amp; TRAN KIEN NGUYEN</t>
  </si>
  <si>
    <t>NGUYEN NGOC TY &amp; TRINH THI THU TRANG</t>
  </si>
  <si>
    <t>NGUYEN THI KIM PHUONG &amp; BUI VAN UY</t>
  </si>
  <si>
    <t>NGUYEN DINH KIEN &amp; PHAM THI TUOI</t>
  </si>
  <si>
    <t xml:space="preserve">PHAM MANH TOAN </t>
  </si>
  <si>
    <t>TRAN THI THAN &amp; BUI DINH TOAI</t>
  </si>
  <si>
    <t xml:space="preserve">NGUYEN THI THANH HUONG </t>
  </si>
  <si>
    <t>LE VIET THANG</t>
  </si>
  <si>
    <t>NGUYEN THI LAM &amp; NGUYEN THAI HOA</t>
  </si>
  <si>
    <t>NGUYEN HOAI NAM &amp; NGUYEN PHAM THU THUY</t>
  </si>
  <si>
    <t>VU QUANG HOAI &amp; VU BINH MINH</t>
  </si>
  <si>
    <t>LE THI MINH HUONG</t>
  </si>
  <si>
    <t>NGUYEN LONG SON</t>
  </si>
  <si>
    <t>DO THI NGUYET ANH &amp; PHAN KIM TUAN</t>
  </si>
  <si>
    <t>LE THI TRUC MAI</t>
  </si>
  <si>
    <t>NGUYEN THI TU TRINH</t>
  </si>
  <si>
    <t xml:space="preserve">NGO VAN AN &amp; TRUONG THI DIEU THU </t>
  </si>
  <si>
    <t>HOANG THI THU HA</t>
  </si>
  <si>
    <t>VU THI MINH NHAM &amp; VU TIEN QUAN</t>
  </si>
  <si>
    <t>NGUYEN THI THU THUY &amp; TRAN NGUYEN VINH MINH</t>
  </si>
  <si>
    <t>CAO VAN HAY &amp; DOAN THI XUAN MAI</t>
  </si>
  <si>
    <t>TA THI MINH HUE &amp; PHAM GIA HAI</t>
  </si>
  <si>
    <t>PHAM VAN CANG &amp; TRAN THI KIM ANH</t>
  </si>
  <si>
    <t>DANG THANH TRUC &amp; VO CHAU THANH</t>
  </si>
  <si>
    <t>TRAN KIM THANH &amp; PHAM NGOC THUY HUONG</t>
  </si>
  <si>
    <t>TRANPORT MEAL ALLOWANCE</t>
  </si>
  <si>
    <t>Total cost</t>
  </si>
  <si>
    <t xml:space="preserve">Invoice Code </t>
  </si>
  <si>
    <t>NGUYEN THI THU TRANG &amp; PHAN QUOC BINH</t>
  </si>
  <si>
    <t>VO CUONG TIN &amp; NGUYEN THI NGOC PHUONG</t>
  </si>
  <si>
    <t>VU THANH LAC</t>
  </si>
  <si>
    <t>NGO THI KIEU TRINH &amp; DINH QUANG NHAT</t>
  </si>
  <si>
    <t>TRAN THI THAM &amp; HUYNH NHU TAN</t>
  </si>
  <si>
    <t>NGUYEN TRONG MANH &amp; TRAN THI THANH HAI</t>
  </si>
  <si>
    <t>NGO BINH TAN &amp; HUYNH LIEU LINH</t>
  </si>
  <si>
    <t>NGUYEN LE HANG MINH &amp; NGO NGOC DANH</t>
  </si>
  <si>
    <t>NGUYEN DANG KHOA &amp; HUYNH THUC DUYEN</t>
  </si>
  <si>
    <t>VO QUOC LAM &amp; LE THI THANH LIEN</t>
  </si>
  <si>
    <t>TRAN BAO KHANH</t>
  </si>
  <si>
    <t>TRAN THI THU HA &amp; NGUYEN ANH THAO</t>
  </si>
  <si>
    <t>LE THI MY TAM &amp; VO VAN MINH</t>
  </si>
  <si>
    <t>HOANG VAN THOM &amp; HOANG THI HANG</t>
  </si>
  <si>
    <t xml:space="preserve">TRAN THI THU THUY &amp; NGUYEN VAN KY </t>
  </si>
  <si>
    <t>LE THI THAO &amp; DO DUC THANG</t>
  </si>
  <si>
    <t>NGUYEN ANH TUYET &amp; TRAN QUOC THAI</t>
  </si>
  <si>
    <t>DO VAN BINH</t>
  </si>
  <si>
    <t xml:space="preserve">NGUYEN THI THU &amp; LE QUANG HUONG </t>
  </si>
  <si>
    <t>NGUYEN MINH TUAN &amp; CONG PHUONG THUY</t>
  </si>
  <si>
    <t>TRAN VAN NEN</t>
  </si>
  <si>
    <t>Note</t>
  </si>
  <si>
    <t>BUI THI VAN ANH &amp; NGUYEN TRUNG THANH</t>
  </si>
  <si>
    <t>HUNG YEN</t>
  </si>
  <si>
    <t>DAK LAK</t>
  </si>
  <si>
    <t>PHUNG TRUNG QUAN &amp; NGUYEN THI TUYET</t>
  </si>
  <si>
    <t>TRINH MINH QUA &amp; PHAN TRAN THU TRANG</t>
  </si>
  <si>
    <t>CAO THI THU THUY &amp; CAO TAT PHUONG</t>
  </si>
  <si>
    <t>DAC NONG</t>
  </si>
  <si>
    <t>DO THI THU HIEN</t>
  </si>
  <si>
    <t>NGUYEN THI THANH</t>
  </si>
  <si>
    <t>DIST PAID 20% TO VENUE</t>
  </si>
  <si>
    <t>TRAN TRUNG DUNG &amp; HOANG THI OANH NGA</t>
  </si>
  <si>
    <t>TRAN THI THANH HUE &amp; PHAM THANH BINH</t>
  </si>
  <si>
    <t>NGUYEN THI THU HA &amp; DO QUANG ANH</t>
  </si>
  <si>
    <t>DUONG THI NGOC &amp; TRUONG DUC TUAN</t>
  </si>
  <si>
    <t>TRAN THI HIEP &amp; DOAN DINH TRONG</t>
  </si>
  <si>
    <t>DANG THI THANH XUAN &amp; DOAN CANH TAM</t>
  </si>
  <si>
    <t>LE THI BE &amp; TRAN QUANG THAI</t>
  </si>
  <si>
    <t>NGUYEN THI THANH MAI &amp; NGUYEN LUONG NGUYEN</t>
  </si>
  <si>
    <t>BUI QUANG DUNG &amp; VU THI TY</t>
  </si>
  <si>
    <t xml:space="preserve">TA THI MAI HUONG &amp; DAO QUANG THUAN </t>
  </si>
  <si>
    <t xml:space="preserve"> NGUYEN TA THANH TAM &amp; VU THI MINH THANH</t>
  </si>
  <si>
    <t>TRAN THI THANH GIANG &amp; NGUYEN HUU DO</t>
  </si>
  <si>
    <t>NGUYEN THE QUYEN &amp; HOANG THI THUY CHAM</t>
  </si>
  <si>
    <t>TRAN MINH TAM &amp; NGUYEN THI HIEN</t>
  </si>
  <si>
    <t>LE THI HONG NHUNG &amp; TANG BA LOI</t>
  </si>
  <si>
    <t>NGUYEN THI NGOC ANH &amp; PHAM VAN DUC</t>
  </si>
  <si>
    <t>BUI MINH DIEM &amp; VU THI TAN</t>
  </si>
  <si>
    <t>BUI THI THUY &amp; LE VAN HAI</t>
  </si>
  <si>
    <t>NGUYEN THI CHINH</t>
  </si>
  <si>
    <t>PHAM THI PHUONG &amp; PHAM VAN SON</t>
  </si>
  <si>
    <t>NGUYEN THI TRANG</t>
  </si>
  <si>
    <t xml:space="preserve"> TRAN CAO LAM</t>
  </si>
  <si>
    <t>DANG VAN THANH</t>
  </si>
  <si>
    <t>LAM THI MAI ANH</t>
  </si>
  <si>
    <t>NGUYEN PHAM VY NGAN</t>
  </si>
  <si>
    <t>LY BOI KIET</t>
  </si>
  <si>
    <t>NGUYEN THI PHUONG &amp; NGUYEN VAN SON</t>
  </si>
  <si>
    <t>NGUYEN VAN TUYEN &amp; NGUYEN THI NGOC HUONG</t>
  </si>
  <si>
    <t>NGUYEN THI GIANG &amp; NGUYEN DAC CUONG</t>
  </si>
  <si>
    <t>NGUYEN HUONG GIANG &amp; NGUYEN TUAN ANH</t>
  </si>
  <si>
    <t>CAO QUANG HIEU</t>
  </si>
  <si>
    <t>HO THI KIEU MAI</t>
  </si>
  <si>
    <t>VU THI THANH MINH &amp; VU CHU DIEN</t>
  </si>
  <si>
    <t>LUU DINH NGAN &amp; LE THI THANH THAO</t>
  </si>
  <si>
    <t>NONG VAN KHIEN &amp; BUI THI KIM LUYEN</t>
  </si>
  <si>
    <t>NGUYEN CONG SU &amp; NGUYEN THI HUONG</t>
  </si>
  <si>
    <t>NGUYEN THI HONG &amp; TRAN HUU THANG</t>
  </si>
  <si>
    <t>HOANG THI PHUONG &amp; NGUYEN VAN HOA</t>
  </si>
  <si>
    <t>PHAN LE SY &amp; TRAN THI HAI HUE</t>
  </si>
  <si>
    <t>LE THI THU HOAI &amp; NGUYEN VAN NAM</t>
  </si>
  <si>
    <t>PHAM THI HANG</t>
  </si>
  <si>
    <t>HUYNH THI BICH PHUONG</t>
  </si>
  <si>
    <t>LE MANH DANG</t>
  </si>
  <si>
    <t>DO THI THUY HANG &amp; TRAN THANH PHONG</t>
  </si>
  <si>
    <t>HOANG ANH THANG</t>
  </si>
  <si>
    <t>NGUYEN THI CHINH &amp; DAU VAN THANG</t>
  </si>
  <si>
    <t>NGUYEN VAN THANG &amp; NGO THI HANG UOC</t>
  </si>
  <si>
    <t>VU THI THEU &amp; NGUYEN VAN DIEN</t>
  </si>
  <si>
    <t>2013-2014</t>
  </si>
  <si>
    <t>08/21/2013, 11:25:20 AM</t>
  </si>
  <si>
    <t>08/21/2013, 11:25:37 AM</t>
  </si>
  <si>
    <t>08/21/2013, 1:53:09 PM</t>
  </si>
  <si>
    <t>DAO THUY HIEN &amp; LE TRONG DAI</t>
  </si>
  <si>
    <t>UNIQUE WEDDING</t>
  </si>
  <si>
    <t>08/21/2013, 2:07:16 PM</t>
  </si>
  <si>
    <t>DAO THUY HIEN &amp; LE TRONG DAI
TRAN BAO KHANH
NGUYEN QUANG NHAT</t>
  </si>
  <si>
    <t>2452239
2342132
2293398</t>
  </si>
  <si>
    <t>DANG NGUYEN BICH TRAM</t>
  </si>
  <si>
    <t>08/21/2013, 3:14:07 PM</t>
  </si>
  <si>
    <t>NGUYEN THAI SON &amp; PHAM THI NGOC DUYEN</t>
  </si>
  <si>
    <t>NGUYEN MINH KHUE &amp; DINH DINH THUAN AN</t>
  </si>
  <si>
    <t>NGUYEN PHAN XUAN HUY &amp; NGUYEN THI THUY TIEN</t>
  </si>
  <si>
    <t>DANG NGUYEN BICH TRAM
NGUYEN THI LAN CHI &amp; TRAN VAN NGHIA
LE THUY LINH</t>
  </si>
  <si>
    <t>2202993
2110443
2164696</t>
  </si>
  <si>
    <t>NGUYEN TRAN THIEN THANH &amp; NGUYEN THI XUAN PHUONG</t>
  </si>
  <si>
    <t>7H - 11H</t>
  </si>
  <si>
    <t>NGUYEN THI QUYNH NGUYEN 2057452</t>
  </si>
  <si>
    <t>LA THI QUYEN &amp; BUI VAN QUANG</t>
  </si>
  <si>
    <t>19H - 21H</t>
  </si>
  <si>
    <t>TRAN THI AI TINH</t>
  </si>
  <si>
    <t>HOANG SAO XINH</t>
  </si>
  <si>
    <t>LE THI VIEN &amp; NGUYEN VAN KHANH</t>
  </si>
  <si>
    <t>NGUYEN THI KIM THUY &amp; VO MINH SANG</t>
  </si>
  <si>
    <t>HOANG THI KIM TUYET &amp; LE DUC MINH</t>
  </si>
  <si>
    <t>YES CONTRACT</t>
  </si>
  <si>
    <t>NGUYEN TIEN DUNG &amp; LE THI HOAI THANH</t>
  </si>
  <si>
    <t>29/HĐKT/CNCTCPVHTB-TB"2013"</t>
  </si>
  <si>
    <t>14H - 17H</t>
  </si>
  <si>
    <t>PHAM THANH TRAM &amp; NGUYEN VAN DUYEN</t>
  </si>
  <si>
    <t>GRAND PALACE</t>
  </si>
  <si>
    <t>QUACH DAI LE</t>
  </si>
  <si>
    <t>MA THI BACH TUYET &amp; DO VAN VU</t>
  </si>
  <si>
    <t>TRUONG VAN HOA &amp; TRAN THI KIM THUY</t>
  </si>
  <si>
    <t>DONE</t>
  </si>
  <si>
    <t>FLAMINGO DAI LA RESORT</t>
  </si>
  <si>
    <t>TRIEU THI LIEN &amp; NGUYEN THE HUNG</t>
  </si>
  <si>
    <t>9H - 12H</t>
  </si>
  <si>
    <t>NGUYEN HONG DUC &amp; TRAN THI THU HUYEN</t>
  </si>
  <si>
    <t>TRINH MINH QUANG</t>
  </si>
  <si>
    <t>YES</t>
  </si>
  <si>
    <t>47/HĐKT/CNHT-PN/2013</t>
  </si>
  <si>
    <t>52/HĐKT/13</t>
  </si>
  <si>
    <t>VO THI NIEM &amp; VU VAN BAY</t>
  </si>
  <si>
    <t>DAK LAK GUEST HOUSE</t>
  </si>
  <si>
    <t>OCT</t>
  </si>
  <si>
    <t>NGUYEN HAI HA &amp; TRAN HAI ANH</t>
  </si>
  <si>
    <t>PHAM THI PHUONG LAM 2022000</t>
  </si>
  <si>
    <t>HO THI THANH MAI</t>
  </si>
  <si>
    <t>NGUYEN THI THANH TUYEN &amp; NGUYEN VAN QUY</t>
  </si>
  <si>
    <t>CAU GIAY STADIUM</t>
  </si>
  <si>
    <t>LUU TU TAM 2009500</t>
  </si>
  <si>
    <t>MUONG THANH SONG LAM HOTEL</t>
  </si>
  <si>
    <t>13H30 - 17H30</t>
  </si>
  <si>
    <t>rules violation</t>
  </si>
  <si>
    <t>HUU NGHI VIET TIEP CULTURE</t>
  </si>
  <si>
    <t>VU THI MAI THUONG</t>
  </si>
  <si>
    <t>NGUYEN QUOC DAT &amp; TRAN THI THAM</t>
  </si>
  <si>
    <t xml:space="preserve"> QUAN THI HANH TRANG</t>
  </si>
  <si>
    <t>NGUYEN THI ANH TUYET &amp; HO SI NGHIA</t>
  </si>
  <si>
    <t>NGUYEN THI VAN ANH &amp; DANG HOANG LONG</t>
  </si>
  <si>
    <t>PHAM THI PHUONG LAN &amp; NGUYEN HOANG NINH</t>
  </si>
  <si>
    <t>DANG TRAN BINH</t>
  </si>
  <si>
    <t>LUU VAN THUAN &amp; NGO THI LUYEN</t>
  </si>
  <si>
    <t>NGUYEN VAN HUONG &amp; LAM THI KIM THOA</t>
  </si>
  <si>
    <t>NGUYEN LY HUYNH CHUONG</t>
  </si>
  <si>
    <t>NGUYEN HOANG TAN</t>
  </si>
  <si>
    <t>NGUYEN TRONG THIEN PHUC &amp; TRAN CAO THAO VY</t>
  </si>
  <si>
    <t>0000757</t>
  </si>
  <si>
    <t>VU HAI PHUONG &amp; VUONG VAN THANH</t>
  </si>
  <si>
    <t>HO NHAT THU &amp; DANG MINH QUANG</t>
  </si>
  <si>
    <t>HO MANH QUAN &amp; PHAM THUY ANH</t>
  </si>
  <si>
    <t>PHAM QUANG HUY &amp; NGUYEN ANH HONG</t>
  </si>
  <si>
    <t>NGUYEN DINH DUY &amp; NGUYEN THI MONG DAO</t>
  </si>
  <si>
    <t>HUU THI HOI</t>
  </si>
  <si>
    <t>CONG DOAN NHA TRANG</t>
  </si>
  <si>
    <t>DOAN VAN HUONG &amp; TRAN THI DIEM</t>
  </si>
  <si>
    <t>NGUYEN THI HOA &amp; BUI QUOC DUNG</t>
  </si>
  <si>
    <t>NGUYEN TA THANH TAM &amp; VU THI MINH THANH</t>
  </si>
  <si>
    <t>NGUYEN TIEN LAM</t>
  </si>
  <si>
    <t>BUI THI HIEN &amp; NGUYEN THE LUYEN</t>
  </si>
  <si>
    <t>HO MINH TAM &amp; NGO THI CHANG</t>
  </si>
  <si>
    <t>TONG DUC THUAN &amp; DAO THI THU HIEN</t>
  </si>
  <si>
    <t>DAU THI ANH NGUYEN &amp; HA NGOC MINH</t>
  </si>
  <si>
    <t>TRINH NGOC QUY</t>
  </si>
  <si>
    <t>VO THI PHI PHUONG &amp; PHAM VIET BAC</t>
  </si>
  <si>
    <t>PHAM THI PHEP</t>
  </si>
  <si>
    <t>NGUYEN DANG NHA THU</t>
  </si>
  <si>
    <t>NGUYEN XUAN VIET &amp; HA THI MINH LOAN</t>
  </si>
  <si>
    <t>74/HĐ-NHQĐ</t>
  </si>
  <si>
    <t>HUYNH YEN MINH</t>
  </si>
  <si>
    <t>TRAN KIM TIEN &amp; MAI THI BICH VAN</t>
  </si>
  <si>
    <t>TRAN THI DIEM &amp; DOAN VAN HUONG</t>
  </si>
  <si>
    <t>TRAN THI GIANG &amp; LO LAM NGU</t>
  </si>
  <si>
    <t>TRAN THI TOAN &amp; TRAN LAM</t>
  </si>
  <si>
    <t>PHAM THI HONG VAN &amp; NGUYEN THANH HUY</t>
  </si>
  <si>
    <t>done</t>
  </si>
  <si>
    <t>Done payment on 24 Sep'13 paid for Le Thi Anh Tuyet 2334307</t>
  </si>
  <si>
    <t>Done payment on 24 Sep'13</t>
  </si>
  <si>
    <t>Done payment on 25 Sep'13 paid for Nguyen Thi Hao 2085896</t>
  </si>
  <si>
    <t>PHAM NGUYEN THI NGOC CHAU</t>
  </si>
  <si>
    <t>NGUYEN NGOC MAI HONG</t>
  </si>
  <si>
    <t>DU THUAN AN</t>
  </si>
  <si>
    <t>TON THAT BAO CHUONG</t>
  </si>
  <si>
    <t>NGUYEN DUC KHANH HUY</t>
  </si>
  <si>
    <t>LE TUAN PHUC &amp; BUI MY PHUONG</t>
  </si>
  <si>
    <t>0041048</t>
  </si>
  <si>
    <t>VAN HOA PLAZA</t>
  </si>
  <si>
    <t>DANG THI HOANG YEN</t>
  </si>
  <si>
    <t>Done</t>
  </si>
  <si>
    <t>NGUYEN THI LAN 2018999</t>
  </si>
  <si>
    <t>NGO THANH TUNG &amp; TRAN THI CHIEN</t>
  </si>
  <si>
    <t>DINH THI PHUONG THEU &amp; HOANG DUY</t>
  </si>
  <si>
    <t>NGUYEN NGOC DUNG</t>
  </si>
  <si>
    <t xml:space="preserve">LE THI HANH </t>
  </si>
  <si>
    <t>NGUYEN THUY GIANG SINH &amp; HUYNH TAN PHU</t>
  </si>
  <si>
    <t>TRAN HOANG THAO &amp; NGUYEN THI GIANG THU</t>
  </si>
  <si>
    <t>LU GIA NGOC</t>
  </si>
  <si>
    <t>NGUYEN QUOC HUY</t>
  </si>
  <si>
    <t>QUACH THI CAM &amp; NGO THANH DONG</t>
  </si>
  <si>
    <t>VO THI THANH LICH &amp; NGUYEN MINH SON</t>
  </si>
  <si>
    <t>LE XUAN LOC &amp; TRAN THI THUY VAN</t>
  </si>
  <si>
    <t>DAO THI MAI &amp; NGUYEN VAN QUANG</t>
  </si>
  <si>
    <t>TRAN TIEN DUNG</t>
  </si>
  <si>
    <t>BUI THI KIM CHI 2037950</t>
  </si>
  <si>
    <t>TRUONG HUYEN NGA</t>
  </si>
  <si>
    <t>PHAM THI ANH TUYET</t>
  </si>
  <si>
    <t>NGUYEN THI THANH HA</t>
  </si>
  <si>
    <t>LE VAN LUAN &amp; DANG NGOC LE THY</t>
  </si>
  <si>
    <t>LE TRAN NGOC OANH &amp; LA VAN NHUONG</t>
  </si>
  <si>
    <t>PHAM THI ANH HOAN &amp; UNG NHO THINH</t>
  </si>
  <si>
    <t>CAO DUC DO</t>
  </si>
  <si>
    <t>1 quota 2000pax</t>
  </si>
  <si>
    <t>VAN THI THUY &amp; TRAN VAN CAN</t>
  </si>
  <si>
    <t xml:space="preserve"> PHAM LE HOA &amp; LE TRONG HUNG</t>
  </si>
  <si>
    <t>VU THANH HA &amp; NGUYEN VAN YEN</t>
  </si>
  <si>
    <t>DINH THI PHUONG &amp; VO XUAN DUNG</t>
  </si>
  <si>
    <t>TRAN THI MOT</t>
  </si>
  <si>
    <t>TRAN TRONG TUYNH</t>
  </si>
  <si>
    <t>0028687</t>
  </si>
  <si>
    <t>NCC CONFERENCE CENTER</t>
  </si>
  <si>
    <t>NOV</t>
  </si>
  <si>
    <t>NGUYEN VAN MINH &amp; LE THI THU THUY</t>
  </si>
  <si>
    <t>NGUYEN THI ANH TUYET</t>
  </si>
  <si>
    <t>PHAM THI PHUONG DUNG &amp; NGUYEN VAN THUONG</t>
  </si>
  <si>
    <t>TRAN XUAN BINH &amp; LE THI DUNG</t>
  </si>
  <si>
    <t xml:space="preserve"> PHAN BA CHU &amp; NGUYEN THI HONG TRANG</t>
  </si>
  <si>
    <t>0000061</t>
  </si>
  <si>
    <t>3D-KDT RESCO</t>
  </si>
  <si>
    <t>TRUONG THI TUONG VY</t>
  </si>
  <si>
    <t>BUI THI TRA</t>
  </si>
  <si>
    <t>BUI THI GIANG &amp; NGUYEN ANH TUAN</t>
  </si>
  <si>
    <t>NGUYEN THI THANH LAN</t>
  </si>
  <si>
    <t>NGUYEN QUANG SON</t>
  </si>
  <si>
    <t>LUU VAN TUAN &amp; NGUYEN THI THU NGUYET</t>
  </si>
  <si>
    <t>VU THI HUE &amp; DANG KIEU PHONG</t>
  </si>
  <si>
    <t>HUYNH TUYET MAI</t>
  </si>
  <si>
    <t>TRIEU THI NGHIEM</t>
  </si>
  <si>
    <t>NGUYEN VAN TRONG &amp; NGO THI THU HA</t>
  </si>
  <si>
    <t>THAI VAN DUC &amp; DANG NGUYEN QUYNH NHU</t>
  </si>
  <si>
    <t>NGUYEN HOANG NAM</t>
  </si>
  <si>
    <t>THAI DUONG &amp; TRAN THI HONG THAM</t>
  </si>
  <si>
    <t>VU THI NGHIA &amp; LE VAN SON</t>
  </si>
  <si>
    <t>NGUYEN TIEN LONG &amp; NGUYEN THI THUY</t>
  </si>
  <si>
    <t>Jackie Huy Approve (1Quota1000pax)</t>
  </si>
  <si>
    <t xml:space="preserve">HA CHI TRAN </t>
  </si>
  <si>
    <t>PHAM THE QUYNH &amp; HOANG NGOC LAN</t>
  </si>
  <si>
    <t xml:space="preserve">Done payment on 23 Oct'13 </t>
  </si>
  <si>
    <t xml:space="preserve"> LE ANH PHAN &amp; PHAM KIEU MY</t>
  </si>
  <si>
    <t>MAI THI THU THAO</t>
  </si>
  <si>
    <t>0000684, 0000680, 0013451, 0011200</t>
  </si>
  <si>
    <t>0001161</t>
  </si>
  <si>
    <t>0001164</t>
  </si>
  <si>
    <t xml:space="preserve">Done payment on 29 Oct'13 </t>
  </si>
  <si>
    <t>VU THI YEN &amp; TRINH VAN HAI</t>
  </si>
  <si>
    <t>NGUYEN MINH PHUONG</t>
  </si>
  <si>
    <t>NGUYEN THI THU HUONG &amp; DAO ANH TUYEN</t>
  </si>
  <si>
    <t xml:space="preserve"> VO MINH THUAN &amp; LAI THI THANH THOANG</t>
  </si>
  <si>
    <t>NGUYEN NGOC THY DUNG &amp; LUONG NGUYEN QUANG KHANH</t>
  </si>
  <si>
    <t>TRAN THI THAI GIANG &amp; NGUYEN DANG QUANG</t>
  </si>
  <si>
    <t>DEC</t>
  </si>
  <si>
    <t>DO THI THUY HANG &amp; TRAN VAN SANH</t>
  </si>
  <si>
    <t>Foreigner guest speaker</t>
  </si>
  <si>
    <t>DUONG THI PHUONG</t>
  </si>
  <si>
    <t>HONG BANG RESTAURANT</t>
  </si>
  <si>
    <t>11/05/2013, 9:53:51 AM</t>
  </si>
  <si>
    <t>11/05/2013, 9:54:01 AM</t>
  </si>
  <si>
    <t>11/05/2013, 9:54:05 AM</t>
  </si>
  <si>
    <t>11/05/2013, 9:54:13 AM</t>
  </si>
  <si>
    <t>NGUYEN THI THAM &amp; CHAU VAN NGOAN</t>
  </si>
  <si>
    <t>LE THI NUONG &amp; NGUYEN VAN DO</t>
  </si>
  <si>
    <t>PHAM THI THU HA &amp; NGUYEN MAU DUNG</t>
  </si>
  <si>
    <t>TANG THI HIEN &amp; TRAN THANH TOAN</t>
  </si>
  <si>
    <t>BUI THI QUYNH HUONG &amp; NGUYEN VAN DOI</t>
  </si>
  <si>
    <t>DAO THI TUYET HONG &amp; VU VAN CHUONG</t>
  </si>
  <si>
    <t>NGUYEN THI NGUYET &amp; NGUYEN DUC TAM</t>
  </si>
  <si>
    <t>DANG THI SEN &amp; DINH VAN PHUONG</t>
  </si>
  <si>
    <t>VO VAN NGA</t>
  </si>
  <si>
    <t>HUYNH DAN THANH &amp; NGUYEN QUOC CUONG</t>
  </si>
  <si>
    <t>LE THI VIEN &amp; HOANG THE LINH</t>
  </si>
  <si>
    <t>LUU HUONG THOM &amp; LE ANH TUAN</t>
  </si>
  <si>
    <t>NGUYEN THI NHUNG &amp; NGUYEN VAN THUY</t>
  </si>
  <si>
    <t>Jackie Huy Approve (2Quota1000pax)</t>
  </si>
  <si>
    <t>Jackie Huy Approve (1Quota2000pax)</t>
  </si>
  <si>
    <t>Meeting 2000pax (DI Diep &amp; Tat ThiTuyet Hong)</t>
  </si>
  <si>
    <t xml:space="preserve">NGUYEN THI LOAN &amp; LE TRUNG HIEU </t>
  </si>
  <si>
    <t>THU DUC CULTURE</t>
  </si>
  <si>
    <t>NGUYEN THI LOAN &amp; LE TRUNG HIEU</t>
  </si>
  <si>
    <t>NGUYEN THI THU HONG</t>
  </si>
  <si>
    <t>TRAN THI DUNG 2170066</t>
  </si>
  <si>
    <t xml:space="preserve">NGUYEN HONG SON &amp; HUYNH LE NGOC TUYEN </t>
  </si>
  <si>
    <t xml:space="preserve">TRUONG THI THANH CHAU &amp; HO ANH DUNG </t>
  </si>
  <si>
    <t>LE THANH DUC &amp; PHAN THI THU HA</t>
  </si>
  <si>
    <t>NGUYEN MINH TRUNG &amp; LE THI PHUONG THAO</t>
  </si>
  <si>
    <t>HO THI CAT TUONG &amp; VAN CONG TY</t>
  </si>
  <si>
    <t>Done payment meal &amp; travel on 5 Nov'13</t>
  </si>
  <si>
    <t>1 quota 1000pax</t>
  </si>
  <si>
    <t>LE THU NGA &amp; NGUYEN VAN UT</t>
  </si>
  <si>
    <t>DAK LAK MUSEUM</t>
  </si>
  <si>
    <t>12/02/2013, 4:15:02 PM</t>
  </si>
  <si>
    <t>12/02/2013, 4:15:13 PM</t>
  </si>
  <si>
    <t>TRUONG THI TUONG VY
BUI THI TRA
BUI THI GIANG &amp; NGUYEN ANH TUAN</t>
  </si>
  <si>
    <t>2509412
2566277
2569657</t>
  </si>
  <si>
    <t>BUI THI TRA 2566277</t>
  </si>
  <si>
    <t/>
  </si>
  <si>
    <t xml:space="preserve">                              </t>
  </si>
  <si>
    <t>DAO THU HIEN</t>
  </si>
  <si>
    <t>NGUYEN VU ANH TUAN &amp; NGUYEN THI KIM LOAN</t>
  </si>
  <si>
    <t>LUU THI DINH HANG</t>
  </si>
  <si>
    <t>KIM XUAN TRUONG &amp; NGUYEN THI LEN</t>
  </si>
  <si>
    <t>NGUYEN THI NGOC THAO &amp; NGUYEN VAN LAI</t>
  </si>
  <si>
    <t>LUU MINH TUYEN &amp; VO THI MY LINH</t>
  </si>
  <si>
    <t>PHAM VAN LINH &amp; DAO THI THUY NGA</t>
  </si>
  <si>
    <t>TON NU BAO UYEN</t>
  </si>
  <si>
    <t>NGUYEN THI HONG HANH</t>
  </si>
  <si>
    <t>DUONG KHANH LINH</t>
  </si>
  <si>
    <t>12/09/2013, 3:52:58 PM</t>
  </si>
  <si>
    <t>12/09/2013, 3:53:01 PM</t>
  </si>
  <si>
    <t>12/09/2013, 3:53:06 PM</t>
  </si>
  <si>
    <t>12/09/2013, 3:53:09 PM</t>
  </si>
  <si>
    <t>NGUYEN THANH KIEU &amp; NGUYEN DUC THANG</t>
  </si>
  <si>
    <t>DO VAN THANH &amp; DAO THI THOM</t>
  </si>
  <si>
    <t>MINH CUONG HOTEL</t>
  </si>
  <si>
    <t>lay 1 quota cho exceptional case Nguyen Cao Duc 15Dec'13</t>
  </si>
  <si>
    <t>NGUYEN CAO DUC 2132285</t>
  </si>
  <si>
    <t>New</t>
  </si>
  <si>
    <t>LE THANH HAI HA &amp; LUONG THI DIEU LINH</t>
  </si>
  <si>
    <t>NGUYEN NGOC MANH &amp; NGUYEN THI HUONG</t>
  </si>
  <si>
    <t>PHAN THI THU HIEN &amp; NGUYEN THANH PHONG</t>
  </si>
  <si>
    <t>TRAN HOANG ANH &amp; TRAN HUONG GIANG</t>
  </si>
  <si>
    <t>NGUYEN THI OANH</t>
  </si>
  <si>
    <t>CUU LONG HOTEL</t>
  </si>
  <si>
    <t>JAN</t>
  </si>
  <si>
    <t>18H30 - 21H</t>
  </si>
  <si>
    <t>12/12/2013, 3:40:41 PM</t>
  </si>
  <si>
    <t>ADORA NGO GIA TU</t>
  </si>
  <si>
    <t>PHAN THI NGA</t>
  </si>
  <si>
    <t>VO MINH DUC &amp; NGUYEN THI KIM BONG</t>
  </si>
  <si>
    <t>TRAN THI THUY &amp; NGUYEN VAN THANH</t>
  </si>
  <si>
    <t>DONG QUE RESTAURANT</t>
  </si>
  <si>
    <t>CULTURE INFORMATION CENTER</t>
  </si>
  <si>
    <t>12/20/2013, 2:48:20 PM</t>
  </si>
  <si>
    <t>12/20/2013, 2:48:30 PM</t>
  </si>
  <si>
    <t>NGUYEN XUAN SINH &amp; NGUYEN THI TAM</t>
  </si>
  <si>
    <t>PHAM NGOC QUY &amp; NGO THI THANH PHI</t>
  </si>
  <si>
    <t>Lay quota cho Hoang Thi Sam</t>
  </si>
  <si>
    <t>HUYNH LE HOANG QUAN 2203399</t>
  </si>
  <si>
    <t>THANH THUY HOTEL</t>
  </si>
  <si>
    <t>DANG VIET THANG 2010180</t>
  </si>
  <si>
    <t>01/07/2014, 9:00:27 AM</t>
  </si>
  <si>
    <t>01/07/2014, 10:20:47 AM</t>
  </si>
  <si>
    <t>PHAN VAN QUANG</t>
  </si>
  <si>
    <t>KING RESTAURANT</t>
  </si>
  <si>
    <t>01/07/2014, 10:52:33 AM</t>
  </si>
  <si>
    <t>01/07/2014, 10:52:38 AM</t>
  </si>
  <si>
    <t>01/07/2014, 10:52:41 AM</t>
  </si>
  <si>
    <t>TRAN THI HAI VAN &amp; NGUYEN NGOC QUY</t>
  </si>
  <si>
    <t>NGUYEN THI GIANG</t>
  </si>
  <si>
    <t>PHAM NGOC TAN 2018999</t>
  </si>
  <si>
    <t>RIVERSIDE PALACE</t>
  </si>
  <si>
    <t>NGUYEN TRUNG KIEN</t>
  </si>
  <si>
    <t>UNG LE CAM UYEN</t>
  </si>
  <si>
    <t>01/09/2014, 5:13:59 PM</t>
  </si>
  <si>
    <t>TOAN DIEN COMPANY</t>
  </si>
  <si>
    <t>01/09/2014, 5:24:32 PM</t>
  </si>
  <si>
    <t>01/10/2014, 9:15:16 AM</t>
  </si>
  <si>
    <t>QUOTA 2000PAX</t>
  </si>
  <si>
    <t>LE VIET HA &amp; TRAN THI THU</t>
  </si>
  <si>
    <t>DAO THI HUONG &amp; VAN DINH DE</t>
  </si>
  <si>
    <t xml:space="preserve">TRUONG HUYEN NGA </t>
  </si>
  <si>
    <t>01/14/2014, 11:14:48 AM</t>
  </si>
  <si>
    <t>NGUYEN THANH THU &amp; NGUYEN THI THANH XUAN</t>
  </si>
  <si>
    <t>01/14/2014, 4:44:16 PM</t>
  </si>
  <si>
    <t>PHAN THI NGOI &amp; NGUYEN DANH HIEU</t>
  </si>
  <si>
    <t>VO THI THU HONG &amp; VO PHUOC BINH</t>
  </si>
  <si>
    <t>BUI THI THANH LOAN &amp; NGUYEN QUANG HAI</t>
  </si>
  <si>
    <t>HAN THUY DUONG &amp; TRAN THANH THUY</t>
  </si>
  <si>
    <t>lay Quota cho Di Vu Thi Phuc</t>
  </si>
  <si>
    <t>01/20/2014, 3:38:19 PM</t>
  </si>
  <si>
    <t>DUONG THI VONG &amp; NGUYEN VAN TAM</t>
  </si>
  <si>
    <t>01/20/2014, 4:26:08 PM</t>
  </si>
  <si>
    <t>01/22/2014, 4:50:43 PM</t>
  </si>
  <si>
    <t>01/22/2014, 4:50:45 PM</t>
  </si>
  <si>
    <t>PHAM THI QUYNH DZYAO &amp; NGUYEN XUAN THAO</t>
  </si>
  <si>
    <t>NGUYEN MAI THI &amp; TRAN TAN DUNG</t>
  </si>
  <si>
    <t xml:space="preserve">Done payment in 7 Jan'14 paid for </t>
  </si>
  <si>
    <t>PHAM VAN XUYEN &amp; BUI THI HUONG</t>
  </si>
  <si>
    <t>DANG THI HA &amp; LE TRONG MUOI</t>
  </si>
  <si>
    <t>LUONG DUC KHOE &amp; NGUYEN THI THU</t>
  </si>
  <si>
    <t>LUONG DUC MINH &amp; NGUYEN THI LEN</t>
  </si>
  <si>
    <t>0000969</t>
  </si>
  <si>
    <t>NGUYEN XUAN THINH &amp; TRAN THI NGUONG</t>
  </si>
  <si>
    <t>0099999, 0099951, 0099978, 0001515,
0001511, 0002177, 0002802, 0003092, 
0003310, 0035668</t>
  </si>
  <si>
    <t>Remark</t>
  </si>
  <si>
    <t>Report
Sales</t>
  </si>
  <si>
    <t>Organize Name</t>
  </si>
  <si>
    <t>Quota Meeting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</si>
</sst>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39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indexed="6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indexed="3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indexed="3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indexed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513">
    <xf numFmtId="0" fontId="0" fillId="0" borderId="0" xfId="0"/>
    <xf numFmtId="0" fontId="0" fillId="2" borderId="0" xfId="0" applyFill="1"/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vertical="center" wrapText="1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>
      <alignment horizontal="center" wrapText="1"/>
    </xf>
    <xf numFmtId="0" fontId="0" fillId="4" borderId="1" xfId="0" applyNumberFormat="1" applyFont="1" applyFill="1" applyBorder="1" applyAlignment="1">
      <alignment horizontal="center" vertical="center"/>
    </xf>
    <xf numFmtId="9" fontId="0" fillId="4" borderId="1" xfId="1" applyFont="1" applyFill="1" applyBorder="1" applyAlignment="1">
      <alignment horizontal="center" vertical="center"/>
    </xf>
    <xf numFmtId="16" fontId="2" fillId="5" borderId="1" xfId="0" applyNumberFormat="1" applyFont="1" applyFill="1" applyBorder="1" applyAlignment="1" applyProtection="1">
      <alignment horizontal="center" vertical="top" wrapText="1"/>
      <protection locked="0"/>
    </xf>
    <xf numFmtId="0" fontId="2" fillId="5" borderId="4" xfId="0" applyFont="1" applyFill="1" applyBorder="1" applyAlignment="1" applyProtection="1">
      <alignment horizontal="center" vertical="top" wrapText="1"/>
      <protection locked="0"/>
    </xf>
    <xf numFmtId="0" fontId="2" fillId="5" borderId="1" xfId="0" applyFont="1" applyFill="1" applyBorder="1" applyAlignment="1" applyProtection="1">
      <alignment horizontal="center" vertical="top" wrapText="1"/>
      <protection locked="0"/>
    </xf>
    <xf numFmtId="0" fontId="2" fillId="3" borderId="1" xfId="0" applyFont="1" applyFill="1" applyBorder="1" applyAlignment="1">
      <alignment horizontal="center" vertical="top" wrapText="1"/>
    </xf>
    <xf numFmtId="3" fontId="2" fillId="5" borderId="1" xfId="0" applyNumberFormat="1" applyFont="1" applyFill="1" applyBorder="1" applyAlignment="1" applyProtection="1">
      <alignment horizontal="center" vertical="top" wrapText="1"/>
      <protection locked="0"/>
    </xf>
    <xf numFmtId="0" fontId="2" fillId="3" borderId="1" xfId="0" applyFont="1" applyFill="1" applyBorder="1" applyAlignment="1" applyProtection="1">
      <alignment horizontal="center" vertical="top" wrapText="1"/>
    </xf>
    <xf numFmtId="3" fontId="2" fillId="3" borderId="1" xfId="0" applyNumberFormat="1" applyFont="1" applyFill="1" applyBorder="1" applyAlignment="1">
      <alignment horizontal="center" vertical="top" wrapText="1"/>
    </xf>
    <xf numFmtId="0" fontId="2" fillId="5" borderId="5" xfId="0" applyFont="1" applyFill="1" applyBorder="1" applyAlignment="1" applyProtection="1">
      <alignment horizontal="center" vertical="top" wrapText="1"/>
      <protection locked="0"/>
    </xf>
    <xf numFmtId="0" fontId="0" fillId="0" borderId="0" xfId="0" applyAlignment="1">
      <alignment horizontal="center" vertical="top" wrapText="1"/>
    </xf>
    <xf numFmtId="0" fontId="0" fillId="6" borderId="1" xfId="0" applyFill="1" applyBorder="1"/>
    <xf numFmtId="0" fontId="0" fillId="6" borderId="0" xfId="0" applyFill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0" fillId="6" borderId="0" xfId="0" applyFill="1"/>
    <xf numFmtId="0" fontId="3" fillId="6" borderId="0" xfId="0" applyFont="1" applyFill="1" applyProtection="1">
      <protection locked="0"/>
    </xf>
    <xf numFmtId="0" fontId="0" fillId="4" borderId="1" xfId="0" applyFill="1" applyBorder="1"/>
    <xf numFmtId="0" fontId="7" fillId="5" borderId="1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 wrapText="1"/>
    </xf>
    <xf numFmtId="9" fontId="0" fillId="4" borderId="1" xfId="0" applyNumberFormat="1" applyFill="1" applyBorder="1"/>
    <xf numFmtId="0" fontId="0" fillId="4" borderId="5" xfId="0" applyFill="1" applyBorder="1" applyAlignment="1">
      <alignment horizontal="center"/>
    </xf>
    <xf numFmtId="0" fontId="7" fillId="7" borderId="1" xfId="0" applyFont="1" applyFill="1" applyBorder="1" applyAlignment="1">
      <alignment horizontal="left" vertical="center" wrapText="1"/>
    </xf>
    <xf numFmtId="0" fontId="0" fillId="0" borderId="1" xfId="0" applyBorder="1"/>
    <xf numFmtId="0" fontId="0" fillId="8" borderId="0" xfId="0" applyFill="1"/>
    <xf numFmtId="0" fontId="7" fillId="5" borderId="1" xfId="0" applyFont="1" applyFill="1" applyBorder="1" applyAlignment="1">
      <alignment horizontal="right" vertical="center" wrapText="1"/>
    </xf>
    <xf numFmtId="3" fontId="7" fillId="5" borderId="1" xfId="0" applyNumberFormat="1" applyFont="1" applyFill="1" applyBorder="1" applyAlignment="1">
      <alignment horizontal="right" vertical="center" wrapText="1"/>
    </xf>
    <xf numFmtId="0" fontId="0" fillId="12" borderId="0" xfId="0" applyFill="1"/>
    <xf numFmtId="0" fontId="0" fillId="2" borderId="0" xfId="0" applyFill="1" applyBorder="1"/>
    <xf numFmtId="0" fontId="11" fillId="12" borderId="0" xfId="0" applyFont="1" applyFill="1" applyAlignment="1">
      <alignment horizontal="left" vertical="center" indent="1"/>
    </xf>
    <xf numFmtId="0" fontId="3" fillId="0" borderId="4" xfId="0" applyFont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right" vertical="center" wrapText="1"/>
    </xf>
    <xf numFmtId="0" fontId="15" fillId="7" borderId="0" xfId="0" applyFont="1" applyFill="1" applyAlignment="1">
      <alignment horizontal="left" vertical="center" indent="1"/>
    </xf>
    <xf numFmtId="0" fontId="2" fillId="7" borderId="0" xfId="0" applyFont="1" applyFill="1" applyAlignment="1">
      <alignment horizontal="left" vertical="center" indent="1"/>
    </xf>
    <xf numFmtId="0" fontId="2" fillId="7" borderId="0" xfId="0" applyFont="1" applyFill="1" applyAlignment="1">
      <alignment vertical="center"/>
    </xf>
    <xf numFmtId="0" fontId="16" fillId="7" borderId="0" xfId="0" applyFont="1" applyFill="1" applyAlignment="1">
      <alignment horizontal="left" vertical="center" indent="1"/>
    </xf>
    <xf numFmtId="0" fontId="16" fillId="7" borderId="0" xfId="0" applyFont="1" applyFill="1" applyAlignment="1">
      <alignment vertical="center"/>
    </xf>
    <xf numFmtId="9" fontId="0" fillId="4" borderId="1" xfId="1" applyNumberFormat="1" applyFont="1" applyFill="1" applyBorder="1" applyAlignment="1">
      <alignment horizontal="center" vertical="center"/>
    </xf>
    <xf numFmtId="49" fontId="0" fillId="6" borderId="0" xfId="0" applyNumberFormat="1" applyFill="1" applyProtection="1">
      <protection locked="0"/>
    </xf>
    <xf numFmtId="49" fontId="2" fillId="5" borderId="1" xfId="0" applyNumberFormat="1" applyFont="1" applyFill="1" applyBorder="1" applyAlignment="1" applyProtection="1">
      <alignment horizontal="center" vertical="top" wrapText="1"/>
      <protection locked="0"/>
    </xf>
    <xf numFmtId="49" fontId="0" fillId="0" borderId="0" xfId="0" applyNumberFormat="1" applyProtection="1">
      <protection locked="0"/>
    </xf>
    <xf numFmtId="1" fontId="0" fillId="0" borderId="1" xfId="0" applyNumberFormat="1" applyFont="1" applyBorder="1" applyAlignment="1" applyProtection="1">
      <alignment horizontal="center" vertical="center"/>
      <protection locked="0"/>
    </xf>
    <xf numFmtId="1" fontId="0" fillId="6" borderId="0" xfId="0" applyNumberFormat="1" applyFill="1" applyProtection="1">
      <protection locked="0"/>
    </xf>
    <xf numFmtId="1" fontId="2" fillId="5" borderId="1" xfId="0" applyNumberFormat="1" applyFont="1" applyFill="1" applyBorder="1" applyAlignment="1" applyProtection="1">
      <alignment horizontal="center" vertical="top" wrapText="1"/>
      <protection locked="0"/>
    </xf>
    <xf numFmtId="1" fontId="0" fillId="0" borderId="0" xfId="0" applyNumberFormat="1" applyProtection="1">
      <protection locked="0"/>
    </xf>
    <xf numFmtId="0" fontId="17" fillId="11" borderId="1" xfId="0" applyFont="1" applyFill="1" applyBorder="1" applyAlignment="1">
      <alignment vertical="center" wrapText="1"/>
    </xf>
    <xf numFmtId="0" fontId="17" fillId="11" borderId="2" xfId="0" applyFont="1" applyFill="1" applyBorder="1" applyAlignment="1">
      <alignment vertical="center" wrapText="1"/>
    </xf>
    <xf numFmtId="0" fontId="2" fillId="0" borderId="0" xfId="0" applyFont="1"/>
    <xf numFmtId="0" fontId="0" fillId="0" borderId="1" xfId="0" applyFill="1" applyBorder="1" applyAlignment="1">
      <alignment horizontal="center" vertical="center" wrapText="1"/>
    </xf>
    <xf numFmtId="164" fontId="0" fillId="0" borderId="1" xfId="2" applyNumberFormat="1" applyFont="1" applyFill="1" applyBorder="1" applyAlignment="1">
      <alignment horizontal="center" vertical="center" wrapText="1"/>
    </xf>
    <xf numFmtId="164" fontId="14" fillId="13" borderId="1" xfId="2" applyNumberFormat="1" applyFont="1" applyFill="1" applyBorder="1" applyAlignment="1">
      <alignment vertical="center"/>
    </xf>
    <xf numFmtId="0" fontId="7" fillId="5" borderId="3" xfId="0" applyFont="1" applyFill="1" applyBorder="1" applyAlignment="1">
      <alignment horizontal="center" vertical="center" wrapText="1"/>
    </xf>
    <xf numFmtId="0" fontId="0" fillId="0" borderId="4" xfId="0" applyBorder="1"/>
    <xf numFmtId="0" fontId="7" fillId="5" borderId="8" xfId="0" applyFont="1" applyFill="1" applyBorder="1" applyAlignment="1">
      <alignment horizontal="center" vertical="center" wrapText="1"/>
    </xf>
    <xf numFmtId="0" fontId="0" fillId="0" borderId="11" xfId="0" applyBorder="1"/>
    <xf numFmtId="0" fontId="18" fillId="5" borderId="3" xfId="0" applyFont="1" applyFill="1" applyBorder="1" applyAlignment="1">
      <alignment horizontal="center" vertical="center" wrapText="1"/>
    </xf>
    <xf numFmtId="0" fontId="18" fillId="5" borderId="7" xfId="0" applyFont="1" applyFill="1" applyBorder="1" applyAlignment="1">
      <alignment horizontal="center" vertical="center" wrapText="1"/>
    </xf>
    <xf numFmtId="164" fontId="0" fillId="14" borderId="1" xfId="2" applyNumberFormat="1" applyFont="1" applyFill="1" applyBorder="1" applyAlignment="1">
      <alignment horizontal="center" vertical="center" wrapText="1"/>
    </xf>
    <xf numFmtId="164" fontId="0" fillId="14" borderId="1" xfId="0" applyNumberFormat="1" applyFont="1" applyFill="1" applyBorder="1" applyAlignment="1">
      <alignment horizontal="center" vertical="center" wrapText="1"/>
    </xf>
    <xf numFmtId="164" fontId="1" fillId="14" borderId="1" xfId="0" applyNumberFormat="1" applyFont="1" applyFill="1" applyBorder="1" applyAlignment="1">
      <alignment horizontal="center" vertical="center" wrapText="1"/>
    </xf>
    <xf numFmtId="0" fontId="2" fillId="12" borderId="0" xfId="0" applyFont="1" applyFill="1" applyAlignment="1">
      <alignment vertical="center"/>
    </xf>
    <xf numFmtId="0" fontId="11" fillId="12" borderId="0" xfId="0" applyFont="1" applyFill="1" applyAlignment="1">
      <alignment vertical="center"/>
    </xf>
    <xf numFmtId="164" fontId="0" fillId="15" borderId="1" xfId="2" applyNumberFormat="1" applyFont="1" applyFill="1" applyBorder="1" applyAlignment="1">
      <alignment horizontal="center" vertical="center" wrapText="1"/>
    </xf>
    <xf numFmtId="0" fontId="20" fillId="13" borderId="1" xfId="0" applyFont="1" applyFill="1" applyBorder="1" applyAlignment="1">
      <alignment horizontal="center" vertical="center"/>
    </xf>
    <xf numFmtId="0" fontId="21" fillId="6" borderId="0" xfId="0" applyFont="1" applyFill="1" applyAlignment="1" applyProtection="1">
      <alignment vertical="center"/>
      <protection locked="0"/>
    </xf>
    <xf numFmtId="0" fontId="0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1" fontId="0" fillId="0" borderId="2" xfId="0" applyNumberFormat="1" applyFont="1" applyBorder="1" applyAlignment="1" applyProtection="1">
      <alignment horizontal="center" vertical="center"/>
      <protection locked="0"/>
    </xf>
    <xf numFmtId="9" fontId="0" fillId="4" borderId="2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3" fontId="0" fillId="0" borderId="1" xfId="0" applyNumberFormat="1" applyFont="1" applyBorder="1" applyAlignment="1">
      <alignment horizontal="center" vertical="center"/>
    </xf>
    <xf numFmtId="0" fontId="0" fillId="16" borderId="1" xfId="0" applyFont="1" applyFill="1" applyBorder="1" applyAlignment="1">
      <alignment horizontal="center" vertical="center" wrapText="1"/>
    </xf>
    <xf numFmtId="3" fontId="0" fillId="16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 applyProtection="1">
      <alignment horizontal="center" vertical="center"/>
    </xf>
    <xf numFmtId="49" fontId="0" fillId="0" borderId="1" xfId="0" applyNumberFormat="1" applyFont="1" applyFill="1" applyBorder="1" applyAlignment="1" applyProtection="1">
      <alignment horizontal="left" vertical="center" wrapText="1"/>
      <protection locked="0"/>
    </xf>
    <xf numFmtId="3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3" fontId="2" fillId="4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vertical="center" wrapText="1"/>
      <protection locked="0"/>
    </xf>
    <xf numFmtId="0" fontId="0" fillId="16" borderId="1" xfId="0" applyFill="1" applyBorder="1" applyAlignment="1">
      <alignment horizontal="center" vertical="center" wrapText="1"/>
    </xf>
    <xf numFmtId="49" fontId="0" fillId="6" borderId="0" xfId="0" applyNumberFormat="1" applyFill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0" fontId="2" fillId="17" borderId="3" xfId="0" applyFont="1" applyFill="1" applyBorder="1" applyAlignment="1">
      <alignment horizontal="center" vertical="top" wrapText="1"/>
    </xf>
    <xf numFmtId="0" fontId="0" fillId="6" borderId="0" xfId="0" applyFill="1" applyAlignment="1" applyProtection="1">
      <alignment horizontal="left" wrapText="1"/>
      <protection locked="0"/>
    </xf>
    <xf numFmtId="3" fontId="0" fillId="0" borderId="1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wrapText="1"/>
      <protection locked="0"/>
    </xf>
    <xf numFmtId="164" fontId="1" fillId="15" borderId="1" xfId="0" applyNumberFormat="1" applyFont="1" applyFill="1" applyBorder="1" applyAlignment="1">
      <alignment horizontal="center" vertical="center" wrapText="1"/>
    </xf>
    <xf numFmtId="0" fontId="23" fillId="6" borderId="0" xfId="0" applyFont="1" applyFill="1" applyProtection="1">
      <protection locked="0"/>
    </xf>
    <xf numFmtId="0" fontId="0" fillId="10" borderId="3" xfId="0" applyFill="1" applyBorder="1"/>
    <xf numFmtId="0" fontId="0" fillId="10" borderId="13" xfId="0" applyFill="1" applyBorder="1"/>
    <xf numFmtId="0" fontId="0" fillId="0" borderId="1" xfId="0" applyFill="1" applyBorder="1"/>
    <xf numFmtId="43" fontId="0" fillId="0" borderId="1" xfId="2" applyFont="1" applyFill="1" applyBorder="1" applyAlignment="1">
      <alignment horizontal="center" vertical="center" wrapText="1"/>
    </xf>
    <xf numFmtId="0" fontId="25" fillId="5" borderId="7" xfId="0" applyFont="1" applyFill="1" applyBorder="1" applyAlignment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0" fontId="0" fillId="6" borderId="0" xfId="0" applyFill="1" applyAlignment="1" applyProtection="1">
      <alignment wrapText="1"/>
      <protection locked="0"/>
    </xf>
    <xf numFmtId="0" fontId="0" fillId="0" borderId="0" xfId="0" applyFont="1"/>
    <xf numFmtId="0" fontId="19" fillId="13" borderId="1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 vertical="center"/>
    </xf>
    <xf numFmtId="9" fontId="0" fillId="11" borderId="1" xfId="0" applyNumberFormat="1" applyFont="1" applyFill="1" applyBorder="1" applyAlignment="1">
      <alignment horizontal="center" vertical="center"/>
    </xf>
    <xf numFmtId="0" fontId="0" fillId="11" borderId="2" xfId="0" applyFont="1" applyFill="1" applyBorder="1" applyAlignment="1">
      <alignment vertical="center"/>
    </xf>
    <xf numFmtId="0" fontId="0" fillId="11" borderId="2" xfId="0" applyFont="1" applyFill="1" applyBorder="1" applyAlignment="1">
      <alignment horizontal="center" vertical="center"/>
    </xf>
    <xf numFmtId="9" fontId="0" fillId="11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15" borderId="1" xfId="0" applyNumberFormat="1" applyFont="1" applyFill="1" applyBorder="1" applyAlignment="1">
      <alignment horizontal="center" vertical="center" wrapText="1"/>
    </xf>
    <xf numFmtId="0" fontId="2" fillId="17" borderId="8" xfId="0" applyFont="1" applyFill="1" applyBorder="1" applyAlignment="1">
      <alignment horizontal="center" vertical="top" wrapText="1"/>
    </xf>
    <xf numFmtId="0" fontId="0" fillId="11" borderId="1" xfId="0" applyFill="1" applyBorder="1" applyAlignment="1">
      <alignment vertical="center"/>
    </xf>
    <xf numFmtId="0" fontId="0" fillId="0" borderId="2" xfId="0" applyFont="1" applyBorder="1" applyAlignment="1" applyProtection="1">
      <alignment horizontal="center"/>
      <protection locked="0"/>
    </xf>
    <xf numFmtId="16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3" fontId="0" fillId="0" borderId="0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 vertical="center" wrapText="1"/>
      <protection locked="0"/>
    </xf>
    <xf numFmtId="14" fontId="0" fillId="0" borderId="2" xfId="0" applyNumberFormat="1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center"/>
      <protection locked="0"/>
    </xf>
    <xf numFmtId="14" fontId="0" fillId="0" borderId="2" xfId="0" applyNumberFormat="1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 wrapText="1"/>
      <protection locked="0"/>
    </xf>
    <xf numFmtId="0" fontId="22" fillId="0" borderId="1" xfId="0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Alignment="1" applyProtection="1">
      <alignment horizontal="left" vertical="center" wrapText="1"/>
      <protection locked="0"/>
    </xf>
    <xf numFmtId="16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3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left" vertical="center" wrapText="1"/>
      <protection locked="0"/>
    </xf>
    <xf numFmtId="3" fontId="22" fillId="0" borderId="1" xfId="0" applyNumberFormat="1" applyFont="1" applyFill="1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6" fillId="0" borderId="1" xfId="0" applyFont="1" applyFill="1" applyBorder="1" applyAlignment="1" applyProtection="1">
      <alignment horizontal="center" vertical="center" wrapText="1"/>
      <protection locked="0"/>
    </xf>
    <xf numFmtId="0" fontId="26" fillId="0" borderId="1" xfId="0" applyFont="1" applyFill="1" applyBorder="1" applyAlignment="1" applyProtection="1">
      <alignment horizontal="left" vertical="center" wrapText="1"/>
      <protection locked="0"/>
    </xf>
    <xf numFmtId="16" fontId="26" fillId="0" borderId="1" xfId="0" applyNumberFormat="1" applyFont="1" applyFill="1" applyBorder="1" applyAlignment="1" applyProtection="1">
      <alignment horizontal="center" vertical="center" wrapText="1"/>
      <protection locked="0"/>
    </xf>
    <xf numFmtId="3" fontId="26" fillId="0" borderId="1" xfId="0" applyNumberFormat="1" applyFont="1" applyFill="1" applyBorder="1" applyAlignment="1" applyProtection="1">
      <alignment horizontal="center" vertical="center"/>
      <protection locked="0"/>
    </xf>
    <xf numFmtId="49" fontId="26" fillId="0" borderId="1" xfId="0" applyNumberFormat="1" applyFont="1" applyFill="1" applyBorder="1" applyAlignment="1" applyProtection="1">
      <alignment horizontal="left" vertical="center" wrapText="1"/>
      <protection locked="0"/>
    </xf>
    <xf numFmtId="3" fontId="2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22" fillId="0" borderId="1" xfId="0" applyFont="1" applyBorder="1" applyAlignment="1" applyProtection="1">
      <alignment vertical="center" wrapText="1"/>
      <protection locked="0"/>
    </xf>
    <xf numFmtId="0" fontId="22" fillId="0" borderId="2" xfId="0" applyFont="1" applyBorder="1" applyAlignment="1" applyProtection="1">
      <alignment horizontal="center" vertical="center" wrapText="1"/>
      <protection locked="0"/>
    </xf>
    <xf numFmtId="1" fontId="22" fillId="0" borderId="1" xfId="0" applyNumberFormat="1" applyFont="1" applyBorder="1" applyAlignment="1" applyProtection="1">
      <alignment horizontal="center" vertical="center"/>
      <protection locked="0"/>
    </xf>
    <xf numFmtId="9" fontId="22" fillId="4" borderId="1" xfId="1" applyFont="1" applyFill="1" applyBorder="1" applyAlignment="1">
      <alignment horizontal="center" vertical="center"/>
    </xf>
    <xf numFmtId="0" fontId="22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2" fillId="0" borderId="0" xfId="0" applyFont="1"/>
    <xf numFmtId="49" fontId="0" fillId="0" borderId="1" xfId="0" applyNumberFormat="1" applyFill="1" applyBorder="1" applyAlignment="1" applyProtection="1">
      <alignment horizontal="left" vertical="center" wrapText="1"/>
      <protection locked="0"/>
    </xf>
    <xf numFmtId="3" fontId="0" fillId="0" borderId="1" xfId="0" applyNumberFormat="1" applyFill="1" applyBorder="1" applyAlignment="1" applyProtection="1">
      <alignment horizontal="center" vertical="center"/>
      <protection locked="0"/>
    </xf>
    <xf numFmtId="0" fontId="22" fillId="4" borderId="1" xfId="0" applyNumberFormat="1" applyFont="1" applyFill="1" applyBorder="1" applyAlignment="1">
      <alignment horizontal="center" vertical="center"/>
    </xf>
    <xf numFmtId="9" fontId="22" fillId="4" borderId="1" xfId="1" applyNumberFormat="1" applyFont="1" applyFill="1" applyBorder="1" applyAlignment="1">
      <alignment horizontal="center" vertical="center"/>
    </xf>
    <xf numFmtId="0" fontId="28" fillId="0" borderId="1" xfId="0" applyFont="1" applyBorder="1" applyAlignment="1" applyProtection="1">
      <alignment horizontal="center" vertical="center" wrapText="1"/>
      <protection locked="0"/>
    </xf>
    <xf numFmtId="0" fontId="28" fillId="0" borderId="1" xfId="0" applyFont="1" applyBorder="1" applyAlignment="1" applyProtection="1">
      <alignment vertical="center" wrapText="1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1" fontId="28" fillId="0" borderId="1" xfId="0" applyNumberFormat="1" applyFont="1" applyBorder="1" applyAlignment="1" applyProtection="1">
      <alignment horizontal="center" vertical="center"/>
      <protection locked="0"/>
    </xf>
    <xf numFmtId="0" fontId="28" fillId="4" borderId="1" xfId="0" applyNumberFormat="1" applyFont="1" applyFill="1" applyBorder="1" applyAlignment="1">
      <alignment horizontal="center" vertical="center"/>
    </xf>
    <xf numFmtId="9" fontId="28" fillId="4" borderId="1" xfId="1" applyNumberFormat="1" applyFont="1" applyFill="1" applyBorder="1" applyAlignment="1">
      <alignment horizontal="center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vertical="center" wrapText="1"/>
      <protection locked="0"/>
    </xf>
    <xf numFmtId="1" fontId="22" fillId="0" borderId="2" xfId="0" applyNumberFormat="1" applyFont="1" applyBorder="1" applyAlignment="1" applyProtection="1">
      <alignment horizontal="center" vertical="center"/>
      <protection locked="0"/>
    </xf>
    <xf numFmtId="9" fontId="22" fillId="4" borderId="2" xfId="1" applyNumberFormat="1" applyFont="1" applyFill="1" applyBorder="1" applyAlignment="1">
      <alignment horizontal="center" vertical="center"/>
    </xf>
    <xf numFmtId="0" fontId="22" fillId="0" borderId="2" xfId="0" applyFont="1" applyBorder="1" applyAlignment="1" applyProtection="1">
      <alignment horizontal="center" vertical="center"/>
      <protection locked="0"/>
    </xf>
    <xf numFmtId="0" fontId="0" fillId="0" borderId="0" xfId="0" applyFill="1"/>
    <xf numFmtId="0" fontId="3" fillId="18" borderId="0" xfId="0" applyFont="1" applyFill="1" applyProtection="1">
      <protection locked="0"/>
    </xf>
    <xf numFmtId="0" fontId="0" fillId="18" borderId="0" xfId="0" applyFill="1" applyProtection="1">
      <protection locked="0"/>
    </xf>
    <xf numFmtId="49" fontId="0" fillId="18" borderId="0" xfId="0" applyNumberFormat="1" applyFill="1" applyProtection="1">
      <protection locked="0"/>
    </xf>
    <xf numFmtId="49" fontId="0" fillId="18" borderId="0" xfId="0" applyNumberFormat="1" applyFill="1" applyAlignment="1" applyProtection="1">
      <alignment wrapText="1"/>
      <protection locked="0"/>
    </xf>
    <xf numFmtId="0" fontId="0" fillId="18" borderId="0" xfId="0" applyFill="1" applyAlignment="1" applyProtection="1">
      <alignment horizontal="left" wrapText="1"/>
      <protection locked="0"/>
    </xf>
    <xf numFmtId="0" fontId="0" fillId="18" borderId="0" xfId="0" applyFill="1" applyAlignment="1" applyProtection="1">
      <alignment horizontal="center"/>
      <protection locked="0"/>
    </xf>
    <xf numFmtId="0" fontId="2" fillId="17" borderId="4" xfId="0" applyFont="1" applyFill="1" applyBorder="1" applyAlignment="1" applyProtection="1">
      <alignment horizontal="center" vertical="top" wrapText="1"/>
      <protection locked="0"/>
    </xf>
    <xf numFmtId="0" fontId="2" fillId="17" borderId="1" xfId="0" applyFont="1" applyFill="1" applyBorder="1" applyAlignment="1" applyProtection="1">
      <alignment horizontal="center" vertical="top" wrapText="1"/>
      <protection locked="0"/>
    </xf>
    <xf numFmtId="3" fontId="2" fillId="17" borderId="1" xfId="0" applyNumberFormat="1" applyFont="1" applyFill="1" applyBorder="1" applyAlignment="1" applyProtection="1">
      <alignment horizontal="center" vertical="top" wrapText="1"/>
      <protection locked="0"/>
    </xf>
    <xf numFmtId="0" fontId="2" fillId="17" borderId="1" xfId="0" applyFont="1" applyFill="1" applyBorder="1" applyAlignment="1" applyProtection="1">
      <alignment horizontal="center" vertical="top" wrapText="1"/>
    </xf>
    <xf numFmtId="3" fontId="2" fillId="17" borderId="1" xfId="0" applyNumberFormat="1" applyFont="1" applyFill="1" applyBorder="1" applyAlignment="1">
      <alignment horizontal="center" vertical="top" wrapText="1"/>
    </xf>
    <xf numFmtId="49" fontId="2" fillId="17" borderId="1" xfId="0" applyNumberFormat="1" applyFont="1" applyFill="1" applyBorder="1" applyAlignment="1" applyProtection="1">
      <alignment horizontal="center" vertical="top" wrapText="1"/>
      <protection locked="0"/>
    </xf>
    <xf numFmtId="0" fontId="2" fillId="17" borderId="5" xfId="0" applyFont="1" applyFill="1" applyBorder="1" applyAlignment="1" applyProtection="1">
      <alignment horizontal="center" vertical="top" wrapText="1"/>
      <protection locked="0"/>
    </xf>
    <xf numFmtId="3" fontId="2" fillId="0" borderId="1" xfId="0" applyNumberFormat="1" applyFont="1" applyFill="1" applyBorder="1" applyAlignment="1">
      <alignment horizontal="center" vertical="center"/>
    </xf>
    <xf numFmtId="3" fontId="0" fillId="0" borderId="1" xfId="0" quotePrefix="1" applyNumberFormat="1" applyFill="1" applyBorder="1" applyAlignment="1" applyProtection="1">
      <alignment horizontal="left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2" fillId="17" borderId="1" xfId="0" applyFont="1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center"/>
    </xf>
    <xf numFmtId="3" fontId="26" fillId="0" borderId="1" xfId="0" quotePrefix="1" applyNumberFormat="1" applyFont="1" applyFill="1" applyBorder="1" applyAlignment="1" applyProtection="1">
      <alignment horizontal="left" vertical="center" wrapText="1"/>
      <protection locked="0"/>
    </xf>
    <xf numFmtId="3" fontId="26" fillId="0" borderId="1" xfId="0" applyNumberFormat="1" applyFont="1" applyFill="1" applyBorder="1" applyAlignment="1">
      <alignment horizontal="center" vertical="center"/>
    </xf>
    <xf numFmtId="0" fontId="29" fillId="0" borderId="1" xfId="0" applyFont="1" applyBorder="1" applyAlignment="1" applyProtection="1">
      <alignment horizontal="center" vertical="center" wrapText="1"/>
      <protection locked="0"/>
    </xf>
    <xf numFmtId="0" fontId="29" fillId="0" borderId="1" xfId="0" applyFont="1" applyBorder="1" applyAlignment="1" applyProtection="1">
      <alignment vertical="center" wrapText="1"/>
      <protection locked="0"/>
    </xf>
    <xf numFmtId="0" fontId="29" fillId="0" borderId="2" xfId="0" applyFont="1" applyBorder="1" applyAlignment="1" applyProtection="1">
      <alignment horizontal="center" vertical="center" wrapText="1"/>
      <protection locked="0"/>
    </xf>
    <xf numFmtId="1" fontId="29" fillId="0" borderId="1" xfId="0" applyNumberFormat="1" applyFont="1" applyBorder="1" applyAlignment="1" applyProtection="1">
      <alignment horizontal="center" vertical="center"/>
      <protection locked="0"/>
    </xf>
    <xf numFmtId="0" fontId="29" fillId="4" borderId="1" xfId="0" applyNumberFormat="1" applyFont="1" applyFill="1" applyBorder="1" applyAlignment="1">
      <alignment horizontal="center" vertical="center"/>
    </xf>
    <xf numFmtId="9" fontId="29" fillId="4" borderId="1" xfId="1" applyNumberFormat="1" applyFont="1" applyFill="1" applyBorder="1" applyAlignment="1">
      <alignment horizontal="center" vertical="center"/>
    </xf>
    <xf numFmtId="0" fontId="29" fillId="0" borderId="1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2" fillId="17" borderId="14" xfId="0" applyFont="1" applyFill="1" applyBorder="1" applyAlignment="1">
      <alignment horizontal="center" vertical="top" wrapText="1"/>
    </xf>
    <xf numFmtId="49" fontId="0" fillId="0" borderId="1" xfId="0" applyNumberFormat="1" applyFill="1" applyBorder="1" applyAlignment="1">
      <alignment horizontal="center" vertical="center" wrapText="1"/>
    </xf>
    <xf numFmtId="0" fontId="30" fillId="0" borderId="1" xfId="0" applyFont="1" applyBorder="1" applyAlignment="1" applyProtection="1">
      <alignment horizontal="center" vertical="center" wrapText="1"/>
      <protection locked="0"/>
    </xf>
    <xf numFmtId="0" fontId="30" fillId="0" borderId="1" xfId="0" applyFont="1" applyBorder="1" applyAlignment="1" applyProtection="1">
      <alignment vertical="center" wrapText="1"/>
      <protection locked="0"/>
    </xf>
    <xf numFmtId="0" fontId="30" fillId="0" borderId="2" xfId="0" applyFont="1" applyBorder="1" applyAlignment="1" applyProtection="1">
      <alignment horizontal="center" vertical="center" wrapText="1"/>
      <protection locked="0"/>
    </xf>
    <xf numFmtId="1" fontId="30" fillId="0" borderId="1" xfId="0" applyNumberFormat="1" applyFont="1" applyBorder="1" applyAlignment="1" applyProtection="1">
      <alignment horizontal="center" vertical="center"/>
      <protection locked="0"/>
    </xf>
    <xf numFmtId="0" fontId="30" fillId="4" borderId="1" xfId="0" applyNumberFormat="1" applyFont="1" applyFill="1" applyBorder="1" applyAlignment="1">
      <alignment horizontal="center" vertical="center"/>
    </xf>
    <xf numFmtId="9" fontId="30" fillId="4" borderId="1" xfId="1" applyNumberFormat="1" applyFont="1" applyFill="1" applyBorder="1" applyAlignment="1">
      <alignment horizontal="center" vertical="center"/>
    </xf>
    <xf numFmtId="0" fontId="30" fillId="0" borderId="1" xfId="0" applyFont="1" applyBorder="1" applyAlignment="1" applyProtection="1">
      <alignment horizontal="center" vertical="center"/>
      <protection locked="0"/>
    </xf>
    <xf numFmtId="0" fontId="30" fillId="0" borderId="2" xfId="0" applyFont="1" applyBorder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center" vertical="center" wrapText="1"/>
      <protection locked="0"/>
    </xf>
    <xf numFmtId="0" fontId="31" fillId="0" borderId="1" xfId="0" applyFont="1" applyBorder="1" applyAlignment="1" applyProtection="1">
      <alignment vertical="center" wrapText="1"/>
      <protection locked="0"/>
    </xf>
    <xf numFmtId="0" fontId="31" fillId="0" borderId="2" xfId="0" applyFont="1" applyBorder="1" applyAlignment="1" applyProtection="1">
      <alignment horizontal="center" vertical="center" wrapText="1"/>
      <protection locked="0"/>
    </xf>
    <xf numFmtId="1" fontId="31" fillId="0" borderId="1" xfId="0" applyNumberFormat="1" applyFont="1" applyBorder="1" applyAlignment="1" applyProtection="1">
      <alignment horizontal="center" vertical="center"/>
      <protection locked="0"/>
    </xf>
    <xf numFmtId="0" fontId="31" fillId="4" borderId="1" xfId="0" applyNumberFormat="1" applyFont="1" applyFill="1" applyBorder="1" applyAlignment="1">
      <alignment horizontal="center" vertical="center"/>
    </xf>
    <xf numFmtId="9" fontId="31" fillId="4" borderId="1" xfId="1" applyNumberFormat="1" applyFont="1" applyFill="1" applyBorder="1" applyAlignment="1">
      <alignment horizontal="center" vertical="center"/>
    </xf>
    <xf numFmtId="0" fontId="31" fillId="0" borderId="1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 applyProtection="1">
      <alignment horizontal="center"/>
      <protection locked="0"/>
    </xf>
    <xf numFmtId="0" fontId="26" fillId="19" borderId="1" xfId="0" applyFont="1" applyFill="1" applyBorder="1" applyAlignment="1" applyProtection="1">
      <alignment horizontal="center" vertical="center" wrapText="1"/>
      <protection locked="0"/>
    </xf>
    <xf numFmtId="0" fontId="26" fillId="19" borderId="1" xfId="0" applyFont="1" applyFill="1" applyBorder="1" applyAlignment="1" applyProtection="1">
      <alignment horizontal="left" vertical="center" wrapText="1"/>
      <protection locked="0"/>
    </xf>
    <xf numFmtId="16" fontId="26" fillId="19" borderId="1" xfId="0" applyNumberFormat="1" applyFont="1" applyFill="1" applyBorder="1" applyAlignment="1" applyProtection="1">
      <alignment horizontal="center" vertical="center" wrapText="1"/>
      <protection locked="0"/>
    </xf>
    <xf numFmtId="3" fontId="26" fillId="19" borderId="1" xfId="0" applyNumberFormat="1" applyFont="1" applyFill="1" applyBorder="1" applyAlignment="1" applyProtection="1">
      <alignment horizontal="center" vertical="center"/>
      <protection locked="0"/>
    </xf>
    <xf numFmtId="3" fontId="27" fillId="19" borderId="1" xfId="0" applyNumberFormat="1" applyFont="1" applyFill="1" applyBorder="1" applyAlignment="1" applyProtection="1">
      <alignment horizontal="center" vertical="center"/>
    </xf>
    <xf numFmtId="3" fontId="27" fillId="19" borderId="1" xfId="0" applyNumberFormat="1" applyFont="1" applyFill="1" applyBorder="1" applyAlignment="1">
      <alignment horizontal="center" vertical="center"/>
    </xf>
    <xf numFmtId="49" fontId="26" fillId="19" borderId="1" xfId="0" applyNumberFormat="1" applyFont="1" applyFill="1" applyBorder="1" applyAlignment="1" applyProtection="1">
      <alignment horizontal="left" vertical="center" wrapText="1"/>
      <protection locked="0"/>
    </xf>
    <xf numFmtId="49" fontId="26" fillId="19" borderId="1" xfId="0" applyNumberFormat="1" applyFont="1" applyFill="1" applyBorder="1" applyAlignment="1" applyProtection="1">
      <alignment horizontal="center" vertical="center" wrapText="1"/>
      <protection locked="0"/>
    </xf>
    <xf numFmtId="3" fontId="26" fillId="19" borderId="1" xfId="0" applyNumberFormat="1" applyFont="1" applyFill="1" applyBorder="1" applyAlignment="1" applyProtection="1">
      <alignment horizontal="left" vertical="center" wrapText="1"/>
      <protection locked="0"/>
    </xf>
    <xf numFmtId="0" fontId="26" fillId="19" borderId="1" xfId="0" applyFont="1" applyFill="1" applyBorder="1" applyAlignment="1">
      <alignment horizontal="center" vertical="center"/>
    </xf>
    <xf numFmtId="0" fontId="26" fillId="19" borderId="1" xfId="0" quotePrefix="1" applyFont="1" applyFill="1" applyBorder="1" applyAlignment="1">
      <alignment horizontal="center" vertical="center"/>
    </xf>
    <xf numFmtId="0" fontId="0" fillId="19" borderId="0" xfId="0" applyFill="1"/>
    <xf numFmtId="0" fontId="32" fillId="0" borderId="1" xfId="0" applyFont="1" applyBorder="1" applyAlignment="1" applyProtection="1">
      <alignment horizontal="center" vertical="center" wrapText="1"/>
      <protection locked="0"/>
    </xf>
    <xf numFmtId="0" fontId="32" fillId="0" borderId="1" xfId="0" applyFont="1" applyBorder="1" applyAlignment="1" applyProtection="1">
      <alignment vertical="center" wrapText="1"/>
      <protection locked="0"/>
    </xf>
    <xf numFmtId="0" fontId="32" fillId="0" borderId="2" xfId="0" applyFont="1" applyBorder="1" applyAlignment="1" applyProtection="1">
      <alignment horizontal="center" vertical="center" wrapText="1"/>
      <protection locked="0"/>
    </xf>
    <xf numFmtId="1" fontId="32" fillId="0" borderId="1" xfId="0" applyNumberFormat="1" applyFont="1" applyBorder="1" applyAlignment="1" applyProtection="1">
      <alignment horizontal="center" vertical="center"/>
      <protection locked="0"/>
    </xf>
    <xf numFmtId="0" fontId="32" fillId="4" borderId="1" xfId="0" applyNumberFormat="1" applyFont="1" applyFill="1" applyBorder="1" applyAlignment="1">
      <alignment horizontal="center" vertical="center"/>
    </xf>
    <xf numFmtId="9" fontId="32" fillId="4" borderId="1" xfId="1" applyNumberFormat="1" applyFont="1" applyFill="1" applyBorder="1" applyAlignment="1">
      <alignment horizontal="center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2" fillId="0" borderId="2" xfId="0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 vertical="center" wrapText="1"/>
      <protection locked="0"/>
    </xf>
    <xf numFmtId="0" fontId="33" fillId="0" borderId="1" xfId="0" applyFont="1" applyBorder="1" applyAlignment="1" applyProtection="1">
      <alignment vertical="center" wrapText="1"/>
      <protection locked="0"/>
    </xf>
    <xf numFmtId="0" fontId="33" fillId="0" borderId="2" xfId="0" applyFont="1" applyBorder="1" applyAlignment="1" applyProtection="1">
      <alignment horizontal="center" vertical="center" wrapText="1"/>
      <protection locked="0"/>
    </xf>
    <xf numFmtId="1" fontId="33" fillId="0" borderId="1" xfId="0" applyNumberFormat="1" applyFont="1" applyBorder="1" applyAlignment="1" applyProtection="1">
      <alignment horizontal="center" vertical="center"/>
      <protection locked="0"/>
    </xf>
    <xf numFmtId="0" fontId="33" fillId="4" borderId="1" xfId="0" applyNumberFormat="1" applyFont="1" applyFill="1" applyBorder="1" applyAlignment="1">
      <alignment horizontal="center" vertical="center"/>
    </xf>
    <xf numFmtId="9" fontId="33" fillId="4" borderId="1" xfId="1" applyNumberFormat="1" applyFont="1" applyFill="1" applyBorder="1" applyAlignment="1">
      <alignment horizontal="center" vertical="center"/>
    </xf>
    <xf numFmtId="0" fontId="33" fillId="0" borderId="1" xfId="0" applyFont="1" applyBorder="1" applyAlignment="1" applyProtection="1">
      <alignment horizontal="center" vertical="center"/>
      <protection locked="0"/>
    </xf>
    <xf numFmtId="0" fontId="33" fillId="0" borderId="2" xfId="0" applyFont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34" fillId="0" borderId="1" xfId="0" applyFont="1" applyBorder="1" applyAlignment="1" applyProtection="1">
      <alignment horizontal="center" vertical="center" wrapText="1"/>
      <protection locked="0"/>
    </xf>
    <xf numFmtId="0" fontId="34" fillId="0" borderId="1" xfId="0" applyFont="1" applyBorder="1" applyAlignment="1" applyProtection="1">
      <alignment vertical="center" wrapText="1"/>
      <protection locked="0"/>
    </xf>
    <xf numFmtId="0" fontId="34" fillId="0" borderId="2" xfId="0" applyFont="1" applyBorder="1" applyAlignment="1" applyProtection="1">
      <alignment horizontal="center" vertical="center" wrapText="1"/>
      <protection locked="0"/>
    </xf>
    <xf numFmtId="1" fontId="34" fillId="0" borderId="1" xfId="0" applyNumberFormat="1" applyFont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>
      <alignment horizontal="center" vertical="center"/>
    </xf>
    <xf numFmtId="9" fontId="34" fillId="4" borderId="1" xfId="1" applyNumberFormat="1" applyFont="1" applyFill="1" applyBorder="1" applyAlignment="1">
      <alignment horizontal="center" vertical="center"/>
    </xf>
    <xf numFmtId="0" fontId="34" fillId="0" borderId="1" xfId="0" applyFont="1" applyBorder="1" applyAlignment="1" applyProtection="1">
      <alignment horizontal="center" vertical="center"/>
      <protection locked="0"/>
    </xf>
    <xf numFmtId="0" fontId="34" fillId="0" borderId="2" xfId="0" applyFont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 vertical="center" wrapText="1"/>
      <protection locked="0"/>
    </xf>
    <xf numFmtId="0" fontId="35" fillId="0" borderId="1" xfId="0" applyFont="1" applyBorder="1" applyAlignment="1" applyProtection="1">
      <alignment vertical="center" wrapText="1"/>
      <protection locked="0"/>
    </xf>
    <xf numFmtId="0" fontId="35" fillId="0" borderId="2" xfId="0" applyFont="1" applyBorder="1" applyAlignment="1" applyProtection="1">
      <alignment horizontal="center" vertical="center" wrapText="1"/>
      <protection locked="0"/>
    </xf>
    <xf numFmtId="1" fontId="35" fillId="0" borderId="1" xfId="0" applyNumberFormat="1" applyFont="1" applyBorder="1" applyAlignment="1" applyProtection="1">
      <alignment horizontal="center" vertical="center"/>
      <protection locked="0"/>
    </xf>
    <xf numFmtId="0" fontId="35" fillId="4" borderId="1" xfId="0" applyNumberFormat="1" applyFont="1" applyFill="1" applyBorder="1" applyAlignment="1">
      <alignment horizontal="center" vertical="center"/>
    </xf>
    <xf numFmtId="9" fontId="35" fillId="4" borderId="1" xfId="1" applyNumberFormat="1" applyFont="1" applyFill="1" applyBorder="1" applyAlignment="1">
      <alignment horizontal="center" vertical="center"/>
    </xf>
    <xf numFmtId="0" fontId="35" fillId="0" borderId="1" xfId="0" applyFont="1" applyBorder="1" applyAlignment="1" applyProtection="1">
      <alignment horizontal="center" vertical="center"/>
      <protection locked="0"/>
    </xf>
    <xf numFmtId="0" fontId="35" fillId="0" borderId="2" xfId="0" applyFont="1" applyBorder="1" applyAlignment="1" applyProtection="1">
      <alignment horizontal="center"/>
      <protection locked="0"/>
    </xf>
    <xf numFmtId="0" fontId="36" fillId="0" borderId="1" xfId="0" applyFont="1" applyBorder="1" applyAlignment="1" applyProtection="1">
      <alignment horizontal="center" vertical="center" wrapText="1"/>
      <protection locked="0"/>
    </xf>
    <xf numFmtId="0" fontId="36" fillId="0" borderId="1" xfId="0" applyFont="1" applyBorder="1" applyAlignment="1" applyProtection="1">
      <alignment vertical="center" wrapText="1"/>
      <protection locked="0"/>
    </xf>
    <xf numFmtId="0" fontId="36" fillId="0" borderId="2" xfId="0" applyFont="1" applyBorder="1" applyAlignment="1" applyProtection="1">
      <alignment horizontal="center" vertical="center" wrapText="1"/>
      <protection locked="0"/>
    </xf>
    <xf numFmtId="1" fontId="36" fillId="0" borderId="1" xfId="0" applyNumberFormat="1" applyFont="1" applyBorder="1" applyAlignment="1" applyProtection="1">
      <alignment horizontal="center" vertical="center"/>
      <protection locked="0"/>
    </xf>
    <xf numFmtId="0" fontId="36" fillId="4" borderId="1" xfId="0" applyNumberFormat="1" applyFont="1" applyFill="1" applyBorder="1" applyAlignment="1">
      <alignment horizontal="center" vertical="center"/>
    </xf>
    <xf numFmtId="9" fontId="36" fillId="4" borderId="1" xfId="1" applyNumberFormat="1" applyFont="1" applyFill="1" applyBorder="1" applyAlignment="1">
      <alignment horizontal="center" vertical="center"/>
    </xf>
    <xf numFmtId="0" fontId="36" fillId="0" borderId="1" xfId="0" applyFont="1" applyBorder="1" applyAlignment="1" applyProtection="1">
      <alignment horizontal="center" vertical="center"/>
      <protection locked="0"/>
    </xf>
    <xf numFmtId="0" fontId="36" fillId="0" borderId="2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 vertical="center" wrapText="1"/>
      <protection locked="0"/>
    </xf>
    <xf numFmtId="0" fontId="37" fillId="0" borderId="1" xfId="0" applyFont="1" applyBorder="1" applyAlignment="1" applyProtection="1">
      <alignment vertical="center" wrapText="1"/>
      <protection locked="0"/>
    </xf>
    <xf numFmtId="0" fontId="37" fillId="0" borderId="2" xfId="0" applyFont="1" applyBorder="1" applyAlignment="1" applyProtection="1">
      <alignment horizontal="center" vertical="center" wrapText="1"/>
      <protection locked="0"/>
    </xf>
    <xf numFmtId="1" fontId="37" fillId="0" borderId="1" xfId="0" applyNumberFormat="1" applyFont="1" applyBorder="1" applyAlignment="1" applyProtection="1">
      <alignment horizontal="center" vertical="center"/>
      <protection locked="0"/>
    </xf>
    <xf numFmtId="0" fontId="37" fillId="4" borderId="1" xfId="0" applyNumberFormat="1" applyFont="1" applyFill="1" applyBorder="1" applyAlignment="1">
      <alignment horizontal="center" vertical="center"/>
    </xf>
    <xf numFmtId="9" fontId="37" fillId="4" borderId="1" xfId="1" applyNumberFormat="1" applyFont="1" applyFill="1" applyBorder="1" applyAlignment="1">
      <alignment horizontal="center" vertical="center"/>
    </xf>
    <xf numFmtId="0" fontId="37" fillId="0" borderId="1" xfId="0" applyFont="1" applyBorder="1" applyAlignment="1" applyProtection="1">
      <alignment horizontal="center" vertical="center"/>
      <protection locked="0"/>
    </xf>
    <xf numFmtId="0" fontId="38" fillId="0" borderId="1" xfId="0" applyFont="1" applyBorder="1" applyAlignment="1" applyProtection="1">
      <alignment horizontal="center" vertical="center" wrapText="1"/>
      <protection locked="0"/>
    </xf>
    <xf numFmtId="0" fontId="38" fillId="0" borderId="1" xfId="0" applyFont="1" applyBorder="1" applyAlignment="1" applyProtection="1">
      <alignment vertical="center" wrapText="1"/>
      <protection locked="0"/>
    </xf>
    <xf numFmtId="0" fontId="38" fillId="0" borderId="2" xfId="0" applyFont="1" applyBorder="1" applyAlignment="1" applyProtection="1">
      <alignment horizontal="center" vertical="center" wrapText="1"/>
      <protection locked="0"/>
    </xf>
    <xf numFmtId="1" fontId="38" fillId="0" borderId="1" xfId="0" applyNumberFormat="1" applyFont="1" applyBorder="1" applyAlignment="1" applyProtection="1">
      <alignment horizontal="center" vertical="center"/>
      <protection locked="0"/>
    </xf>
    <xf numFmtId="0" fontId="38" fillId="4" borderId="1" xfId="0" applyNumberFormat="1" applyFont="1" applyFill="1" applyBorder="1" applyAlignment="1">
      <alignment horizontal="center" vertical="center"/>
    </xf>
    <xf numFmtId="9" fontId="38" fillId="4" borderId="1" xfId="1" applyNumberFormat="1" applyFont="1" applyFill="1" applyBorder="1" applyAlignment="1">
      <alignment horizontal="center" vertical="center"/>
    </xf>
    <xf numFmtId="0" fontId="38" fillId="0" borderId="1" xfId="0" applyFont="1" applyBorder="1" applyAlignment="1" applyProtection="1">
      <alignment horizontal="center" vertical="center"/>
      <protection locked="0"/>
    </xf>
    <xf numFmtId="0" fontId="38" fillId="0" borderId="2" xfId="0" applyFont="1" applyBorder="1" applyAlignment="1" applyProtection="1">
      <alignment horizontal="center"/>
      <protection locked="0"/>
    </xf>
    <xf numFmtId="0" fontId="0" fillId="0" borderId="5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/>
    <xf numFmtId="0" fontId="26" fillId="0" borderId="0" xfId="0" applyFont="1" applyBorder="1" applyAlignment="1">
      <alignment horizontal="center" vertical="center"/>
    </xf>
    <xf numFmtId="0" fontId="26" fillId="0" borderId="0" xfId="0" quotePrefix="1" applyFont="1" applyBorder="1" applyAlignment="1">
      <alignment horizontal="center" vertical="center"/>
    </xf>
    <xf numFmtId="49" fontId="26" fillId="0" borderId="0" xfId="0" applyNumberFormat="1" applyFont="1" applyBorder="1" applyAlignment="1">
      <alignment horizontal="center" vertical="center"/>
    </xf>
    <xf numFmtId="0" fontId="39" fillId="0" borderId="1" xfId="0" applyFont="1" applyBorder="1" applyAlignment="1" applyProtection="1">
      <alignment horizontal="center" vertical="center" wrapText="1"/>
      <protection locked="0"/>
    </xf>
    <xf numFmtId="0" fontId="39" fillId="0" borderId="1" xfId="0" applyFont="1" applyBorder="1" applyAlignment="1" applyProtection="1">
      <alignment vertical="center" wrapText="1"/>
      <protection locked="0"/>
    </xf>
    <xf numFmtId="0" fontId="39" fillId="0" borderId="2" xfId="0" applyFont="1" applyBorder="1" applyAlignment="1" applyProtection="1">
      <alignment horizontal="center" vertical="center" wrapText="1"/>
      <protection locked="0"/>
    </xf>
    <xf numFmtId="1" fontId="39" fillId="0" borderId="1" xfId="0" applyNumberFormat="1" applyFont="1" applyBorder="1" applyAlignment="1" applyProtection="1">
      <alignment horizontal="center" vertical="center"/>
      <protection locked="0"/>
    </xf>
    <xf numFmtId="0" fontId="39" fillId="4" borderId="1" xfId="0" applyNumberFormat="1" applyFont="1" applyFill="1" applyBorder="1" applyAlignment="1">
      <alignment horizontal="center" vertical="center"/>
    </xf>
    <xf numFmtId="9" fontId="39" fillId="4" borderId="1" xfId="1" applyNumberFormat="1" applyFont="1" applyFill="1" applyBorder="1" applyAlignment="1">
      <alignment horizontal="center" vertical="center"/>
    </xf>
    <xf numFmtId="0" fontId="39" fillId="0" borderId="1" xfId="0" applyFont="1" applyBorder="1" applyAlignment="1" applyProtection="1">
      <alignment horizontal="center" vertical="center"/>
      <protection locked="0"/>
    </xf>
    <xf numFmtId="0" fontId="39" fillId="0" borderId="2" xfId="0" applyFont="1" applyBorder="1" applyAlignment="1" applyProtection="1">
      <alignment horizontal="center"/>
      <protection locked="0"/>
    </xf>
    <xf numFmtId="0" fontId="2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quotePrefix="1" applyFont="1" applyFill="1" applyBorder="1" applyAlignment="1">
      <alignment horizontal="center" vertical="center"/>
    </xf>
    <xf numFmtId="0" fontId="40" fillId="0" borderId="1" xfId="0" applyFont="1" applyBorder="1" applyAlignment="1" applyProtection="1">
      <alignment horizontal="center" vertical="center" wrapText="1"/>
      <protection locked="0"/>
    </xf>
    <xf numFmtId="0" fontId="40" fillId="0" borderId="1" xfId="0" applyFont="1" applyBorder="1" applyAlignment="1" applyProtection="1">
      <alignment vertical="center" wrapText="1"/>
      <protection locked="0"/>
    </xf>
    <xf numFmtId="0" fontId="40" fillId="0" borderId="2" xfId="0" applyFont="1" applyBorder="1" applyAlignment="1" applyProtection="1">
      <alignment horizontal="center" vertical="center" wrapText="1"/>
      <protection locked="0"/>
    </xf>
    <xf numFmtId="1" fontId="40" fillId="0" borderId="1" xfId="0" applyNumberFormat="1" applyFont="1" applyBorder="1" applyAlignment="1" applyProtection="1">
      <alignment horizontal="center" vertical="center"/>
      <protection locked="0"/>
    </xf>
    <xf numFmtId="0" fontId="40" fillId="4" borderId="1" xfId="0" applyNumberFormat="1" applyFont="1" applyFill="1" applyBorder="1" applyAlignment="1">
      <alignment horizontal="center" vertical="center"/>
    </xf>
    <xf numFmtId="9" fontId="40" fillId="4" borderId="1" xfId="1" applyNumberFormat="1" applyFont="1" applyFill="1" applyBorder="1" applyAlignment="1">
      <alignment horizontal="center" vertical="center"/>
    </xf>
    <xf numFmtId="0" fontId="40" fillId="0" borderId="1" xfId="0" applyFont="1" applyBorder="1" applyAlignment="1" applyProtection="1">
      <alignment horizontal="center" vertical="center"/>
      <protection locked="0"/>
    </xf>
    <xf numFmtId="0" fontId="40" fillId="0" borderId="2" xfId="0" applyFont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alignment horizontal="center" vertical="center" wrapText="1"/>
      <protection locked="0"/>
    </xf>
    <xf numFmtId="0" fontId="41" fillId="0" borderId="1" xfId="0" applyFont="1" applyBorder="1" applyAlignment="1" applyProtection="1">
      <alignment vertical="center" wrapText="1"/>
      <protection locked="0"/>
    </xf>
    <xf numFmtId="0" fontId="41" fillId="0" borderId="2" xfId="0" applyFont="1" applyBorder="1" applyAlignment="1" applyProtection="1">
      <alignment horizontal="center" vertical="center" wrapText="1"/>
      <protection locked="0"/>
    </xf>
    <xf numFmtId="1" fontId="41" fillId="0" borderId="1" xfId="0" applyNumberFormat="1" applyFont="1" applyBorder="1" applyAlignment="1" applyProtection="1">
      <alignment horizontal="center" vertical="center"/>
      <protection locked="0"/>
    </xf>
    <xf numFmtId="0" fontId="41" fillId="4" borderId="1" xfId="0" applyNumberFormat="1" applyFont="1" applyFill="1" applyBorder="1" applyAlignment="1">
      <alignment horizontal="center" vertical="center"/>
    </xf>
    <xf numFmtId="9" fontId="41" fillId="4" borderId="1" xfId="1" applyNumberFormat="1" applyFont="1" applyFill="1" applyBorder="1" applyAlignment="1">
      <alignment horizontal="center" vertical="center"/>
    </xf>
    <xf numFmtId="0" fontId="41" fillId="0" borderId="1" xfId="0" applyFont="1" applyBorder="1" applyAlignment="1" applyProtection="1">
      <alignment horizontal="center" vertical="center"/>
      <protection locked="0"/>
    </xf>
    <xf numFmtId="0" fontId="41" fillId="0" borderId="2" xfId="0" applyFont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alignment horizontal="center" vertical="center" wrapText="1"/>
      <protection locked="0"/>
    </xf>
    <xf numFmtId="0" fontId="42" fillId="0" borderId="1" xfId="0" applyFont="1" applyBorder="1" applyAlignment="1" applyProtection="1">
      <alignment vertical="center" wrapText="1"/>
      <protection locked="0"/>
    </xf>
    <xf numFmtId="0" fontId="42" fillId="0" borderId="2" xfId="0" applyFont="1" applyBorder="1" applyAlignment="1" applyProtection="1">
      <alignment horizontal="center" vertical="center" wrapText="1"/>
      <protection locked="0"/>
    </xf>
    <xf numFmtId="1" fontId="42" fillId="0" borderId="1" xfId="0" applyNumberFormat="1" applyFont="1" applyBorder="1" applyAlignment="1" applyProtection="1">
      <alignment horizontal="center" vertical="center"/>
      <protection locked="0"/>
    </xf>
    <xf numFmtId="0" fontId="42" fillId="4" borderId="1" xfId="0" applyNumberFormat="1" applyFont="1" applyFill="1" applyBorder="1" applyAlignment="1">
      <alignment horizontal="center" vertical="center"/>
    </xf>
    <xf numFmtId="9" fontId="42" fillId="4" borderId="1" xfId="1" applyNumberFormat="1" applyFont="1" applyFill="1" applyBorder="1" applyAlignment="1">
      <alignment horizontal="center" vertical="center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2" xfId="0" applyFont="1" applyBorder="1" applyAlignment="1" applyProtection="1">
      <alignment horizontal="center"/>
      <protection locked="0"/>
    </xf>
    <xf numFmtId="0" fontId="43" fillId="0" borderId="1" xfId="0" applyFont="1" applyBorder="1" applyAlignment="1" applyProtection="1">
      <alignment horizontal="center" vertical="center" wrapText="1"/>
      <protection locked="0"/>
    </xf>
    <xf numFmtId="0" fontId="43" fillId="0" borderId="1" xfId="0" applyFont="1" applyBorder="1" applyAlignment="1" applyProtection="1">
      <alignment vertical="center" wrapText="1"/>
      <protection locked="0"/>
    </xf>
    <xf numFmtId="0" fontId="43" fillId="0" borderId="2" xfId="0" applyFont="1" applyBorder="1" applyAlignment="1" applyProtection="1">
      <alignment horizontal="center" vertical="center" wrapText="1"/>
      <protection locked="0"/>
    </xf>
    <xf numFmtId="1" fontId="43" fillId="0" borderId="1" xfId="0" applyNumberFormat="1" applyFont="1" applyBorder="1" applyAlignment="1" applyProtection="1">
      <alignment horizontal="center" vertical="center"/>
      <protection locked="0"/>
    </xf>
    <xf numFmtId="0" fontId="43" fillId="4" borderId="1" xfId="0" applyNumberFormat="1" applyFont="1" applyFill="1" applyBorder="1" applyAlignment="1">
      <alignment horizontal="center" vertical="center"/>
    </xf>
    <xf numFmtId="9" fontId="43" fillId="4" borderId="1" xfId="1" applyNumberFormat="1" applyFont="1" applyFill="1" applyBorder="1" applyAlignment="1">
      <alignment horizontal="center" vertical="center"/>
    </xf>
    <xf numFmtId="0" fontId="43" fillId="0" borderId="1" xfId="0" applyFont="1" applyBorder="1" applyAlignment="1" applyProtection="1">
      <alignment horizontal="center" vertical="center"/>
      <protection locked="0"/>
    </xf>
    <xf numFmtId="0" fontId="43" fillId="0" borderId="2" xfId="0" applyFont="1" applyBorder="1" applyAlignment="1" applyProtection="1">
      <alignment horizontal="center"/>
      <protection locked="0"/>
    </xf>
    <xf numFmtId="3" fontId="0" fillId="0" borderId="1" xfId="0" applyNumberFormat="1" applyFill="1" applyBorder="1" applyAlignment="1" applyProtection="1">
      <alignment horizontal="left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44" fillId="0" borderId="1" xfId="0" applyFont="1" applyBorder="1" applyAlignment="1" applyProtection="1">
      <alignment horizontal="center" vertical="center" wrapText="1"/>
      <protection locked="0"/>
    </xf>
    <xf numFmtId="0" fontId="44" fillId="0" borderId="1" xfId="0" applyFont="1" applyBorder="1" applyAlignment="1" applyProtection="1">
      <alignment vertical="center" wrapText="1"/>
      <protection locked="0"/>
    </xf>
    <xf numFmtId="0" fontId="44" fillId="0" borderId="2" xfId="0" applyFont="1" applyBorder="1" applyAlignment="1" applyProtection="1">
      <alignment horizontal="center" vertical="center" wrapText="1"/>
      <protection locked="0"/>
    </xf>
    <xf numFmtId="1" fontId="44" fillId="0" borderId="1" xfId="0" applyNumberFormat="1" applyFont="1" applyBorder="1" applyAlignment="1" applyProtection="1">
      <alignment horizontal="center" vertical="center"/>
      <protection locked="0"/>
    </xf>
    <xf numFmtId="0" fontId="44" fillId="4" borderId="1" xfId="0" applyNumberFormat="1" applyFont="1" applyFill="1" applyBorder="1" applyAlignment="1">
      <alignment horizontal="center" vertical="center"/>
    </xf>
    <xf numFmtId="9" fontId="44" fillId="4" borderId="1" xfId="1" applyNumberFormat="1" applyFont="1" applyFill="1" applyBorder="1" applyAlignment="1">
      <alignment horizontal="center" vertical="center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2" xfId="0" applyFont="1" applyBorder="1" applyAlignment="1" applyProtection="1">
      <alignment horizontal="center"/>
      <protection locked="0"/>
    </xf>
    <xf numFmtId="3" fontId="0" fillId="0" borderId="4" xfId="0" applyNumberFormat="1" applyFill="1" applyBorder="1" applyAlignment="1">
      <alignment horizontal="center" vertical="center"/>
    </xf>
    <xf numFmtId="0" fontId="22" fillId="0" borderId="5" xfId="0" applyFont="1" applyFill="1" applyBorder="1" applyAlignment="1" applyProtection="1">
      <alignment horizontal="center" vertical="center" wrapText="1"/>
      <protection locked="0"/>
    </xf>
    <xf numFmtId="0" fontId="22" fillId="0" borderId="6" xfId="0" applyFont="1" applyFill="1" applyBorder="1" applyAlignment="1" applyProtection="1">
      <alignment horizontal="center" vertical="center" wrapText="1"/>
      <protection locked="0"/>
    </xf>
    <xf numFmtId="3" fontId="26" fillId="0" borderId="2" xfId="0" applyNumberFormat="1" applyFont="1" applyFill="1" applyBorder="1" applyAlignment="1" applyProtection="1">
      <alignment horizontal="center" vertical="center"/>
      <protection locked="0"/>
    </xf>
    <xf numFmtId="3" fontId="0" fillId="0" borderId="11" xfId="0" applyNumberFormat="1" applyFill="1" applyBorder="1" applyAlignment="1">
      <alignment horizontal="center" vertical="center"/>
    </xf>
    <xf numFmtId="3" fontId="0" fillId="0" borderId="2" xfId="0" applyNumberFormat="1" applyFont="1" applyFill="1" applyBorder="1" applyAlignment="1" applyProtection="1">
      <alignment horizontal="center" vertical="center"/>
      <protection locked="0"/>
    </xf>
    <xf numFmtId="3" fontId="0" fillId="0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2" xfId="0" applyFill="1" applyBorder="1" applyAlignment="1">
      <alignment horizontal="center" vertical="center"/>
    </xf>
    <xf numFmtId="0" fontId="45" fillId="0" borderId="1" xfId="0" applyFont="1" applyBorder="1" applyAlignment="1" applyProtection="1">
      <alignment horizontal="center" vertical="center" wrapText="1"/>
      <protection locked="0"/>
    </xf>
    <xf numFmtId="0" fontId="45" fillId="0" borderId="1" xfId="0" applyFont="1" applyBorder="1" applyAlignment="1" applyProtection="1">
      <alignment vertical="center" wrapText="1"/>
      <protection locked="0"/>
    </xf>
    <xf numFmtId="0" fontId="45" fillId="0" borderId="2" xfId="0" applyFont="1" applyBorder="1" applyAlignment="1" applyProtection="1">
      <alignment horizontal="center" vertical="center" wrapText="1"/>
      <protection locked="0"/>
    </xf>
    <xf numFmtId="1" fontId="45" fillId="0" borderId="1" xfId="0" applyNumberFormat="1" applyFont="1" applyBorder="1" applyAlignment="1" applyProtection="1">
      <alignment horizontal="center" vertical="center"/>
      <protection locked="0"/>
    </xf>
    <xf numFmtId="0" fontId="45" fillId="4" borderId="1" xfId="0" applyNumberFormat="1" applyFont="1" applyFill="1" applyBorder="1" applyAlignment="1">
      <alignment horizontal="center" vertical="center"/>
    </xf>
    <xf numFmtId="9" fontId="45" fillId="4" borderId="1" xfId="1" applyNumberFormat="1" applyFont="1" applyFill="1" applyBorder="1" applyAlignment="1">
      <alignment horizontal="center" vertical="center"/>
    </xf>
    <xf numFmtId="0" fontId="45" fillId="0" borderId="1" xfId="0" applyFont="1" applyBorder="1" applyAlignment="1" applyProtection="1">
      <alignment horizontal="center" vertical="center"/>
      <protection locked="0"/>
    </xf>
    <xf numFmtId="0" fontId="45" fillId="0" borderId="2" xfId="0" applyFont="1" applyBorder="1" applyAlignment="1" applyProtection="1">
      <alignment horizontal="center"/>
      <protection locked="0"/>
    </xf>
    <xf numFmtId="3" fontId="0" fillId="0" borderId="1" xfId="0" applyNumberFormat="1" applyFont="1" applyFill="1" applyBorder="1" applyAlignment="1">
      <alignment horizontal="center" vertical="center"/>
    </xf>
    <xf numFmtId="0" fontId="19" fillId="0" borderId="0" xfId="0" applyFont="1" applyProtection="1">
      <protection locked="0"/>
    </xf>
    <xf numFmtId="0" fontId="46" fillId="0" borderId="1" xfId="0" applyFont="1" applyBorder="1" applyAlignment="1" applyProtection="1">
      <alignment horizontal="center" vertical="center" wrapText="1"/>
      <protection locked="0"/>
    </xf>
    <xf numFmtId="0" fontId="46" fillId="0" borderId="1" xfId="0" applyFont="1" applyBorder="1" applyAlignment="1" applyProtection="1">
      <alignment vertical="center" wrapText="1"/>
      <protection locked="0"/>
    </xf>
    <xf numFmtId="0" fontId="46" fillId="0" borderId="2" xfId="0" applyFont="1" applyBorder="1" applyAlignment="1" applyProtection="1">
      <alignment horizontal="center" vertical="center" wrapText="1"/>
      <protection locked="0"/>
    </xf>
    <xf numFmtId="1" fontId="46" fillId="0" borderId="1" xfId="0" applyNumberFormat="1" applyFont="1" applyBorder="1" applyAlignment="1" applyProtection="1">
      <alignment horizontal="center" vertical="center"/>
      <protection locked="0"/>
    </xf>
    <xf numFmtId="0" fontId="46" fillId="4" borderId="1" xfId="0" applyNumberFormat="1" applyFont="1" applyFill="1" applyBorder="1" applyAlignment="1">
      <alignment horizontal="center" vertical="center"/>
    </xf>
    <xf numFmtId="9" fontId="46" fillId="4" borderId="1" xfId="1" applyNumberFormat="1" applyFont="1" applyFill="1" applyBorder="1" applyAlignment="1">
      <alignment horizontal="center" vertical="center"/>
    </xf>
    <xf numFmtId="0" fontId="46" fillId="0" borderId="1" xfId="0" applyFont="1" applyBorder="1" applyAlignment="1" applyProtection="1">
      <alignment horizontal="center" vertical="center"/>
      <protection locked="0"/>
    </xf>
    <xf numFmtId="0" fontId="46" fillId="0" borderId="2" xfId="0" applyFont="1" applyBorder="1" applyAlignment="1" applyProtection="1">
      <alignment horizontal="center"/>
      <protection locked="0"/>
    </xf>
    <xf numFmtId="0" fontId="47" fillId="0" borderId="1" xfId="0" applyFont="1" applyBorder="1" applyAlignment="1" applyProtection="1">
      <alignment horizontal="center" vertical="center" wrapText="1"/>
      <protection locked="0"/>
    </xf>
    <xf numFmtId="0" fontId="47" fillId="0" borderId="1" xfId="0" applyFont="1" applyBorder="1" applyAlignment="1" applyProtection="1">
      <alignment vertical="center" wrapText="1"/>
      <protection locked="0"/>
    </xf>
    <xf numFmtId="0" fontId="47" fillId="0" borderId="2" xfId="0" applyFont="1" applyBorder="1" applyAlignment="1" applyProtection="1">
      <alignment horizontal="center" vertical="center" wrapText="1"/>
      <protection locked="0"/>
    </xf>
    <xf numFmtId="1" fontId="47" fillId="0" borderId="1" xfId="0" applyNumberFormat="1" applyFont="1" applyBorder="1" applyAlignment="1" applyProtection="1">
      <alignment horizontal="center" vertical="center"/>
      <protection locked="0"/>
    </xf>
    <xf numFmtId="0" fontId="47" fillId="4" borderId="1" xfId="0" applyNumberFormat="1" applyFont="1" applyFill="1" applyBorder="1" applyAlignment="1">
      <alignment horizontal="center" vertical="center"/>
    </xf>
    <xf numFmtId="9" fontId="47" fillId="4" borderId="1" xfId="1" applyNumberFormat="1" applyFont="1" applyFill="1" applyBorder="1" applyAlignment="1">
      <alignment horizontal="center" vertical="center"/>
    </xf>
    <xf numFmtId="0" fontId="47" fillId="0" borderId="1" xfId="0" applyFont="1" applyBorder="1" applyAlignment="1" applyProtection="1">
      <alignment horizontal="center" vertical="center"/>
      <protection locked="0"/>
    </xf>
    <xf numFmtId="0" fontId="47" fillId="0" borderId="2" xfId="0" applyFont="1" applyBorder="1" applyAlignment="1" applyProtection="1">
      <alignment horizontal="center"/>
      <protection locked="0"/>
    </xf>
    <xf numFmtId="3" fontId="0" fillId="0" borderId="2" xfId="0" applyNumberFormat="1" applyFill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 wrapText="1"/>
      <protection locked="0"/>
    </xf>
    <xf numFmtId="0" fontId="48" fillId="0" borderId="1" xfId="0" applyFont="1" applyBorder="1" applyAlignment="1" applyProtection="1">
      <alignment vertical="center" wrapText="1"/>
      <protection locked="0"/>
    </xf>
    <xf numFmtId="0" fontId="48" fillId="0" borderId="2" xfId="0" applyFont="1" applyBorder="1" applyAlignment="1" applyProtection="1">
      <alignment horizontal="center" vertical="center" wrapText="1"/>
      <protection locked="0"/>
    </xf>
    <xf numFmtId="1" fontId="48" fillId="0" borderId="1" xfId="0" applyNumberFormat="1" applyFont="1" applyBorder="1" applyAlignment="1" applyProtection="1">
      <alignment horizontal="center" vertical="center"/>
      <protection locked="0"/>
    </xf>
    <xf numFmtId="0" fontId="48" fillId="4" borderId="1" xfId="0" applyNumberFormat="1" applyFont="1" applyFill="1" applyBorder="1" applyAlignment="1">
      <alignment horizontal="center" vertical="center"/>
    </xf>
    <xf numFmtId="9" fontId="48" fillId="4" borderId="1" xfId="1" applyNumberFormat="1" applyFont="1" applyFill="1" applyBorder="1" applyAlignment="1">
      <alignment horizontal="center" vertical="center"/>
    </xf>
    <xf numFmtId="0" fontId="48" fillId="0" borderId="1" xfId="0" applyFont="1" applyBorder="1" applyAlignment="1" applyProtection="1">
      <alignment horizontal="center" vertical="center"/>
      <protection locked="0"/>
    </xf>
    <xf numFmtId="0" fontId="48" fillId="0" borderId="2" xfId="0" applyFont="1" applyBorder="1" applyAlignment="1" applyProtection="1">
      <alignment horizontal="center"/>
      <protection locked="0"/>
    </xf>
    <xf numFmtId="0" fontId="49" fillId="0" borderId="1" xfId="0" applyFont="1" applyBorder="1" applyAlignment="1" applyProtection="1">
      <alignment horizontal="center" vertical="center" wrapText="1"/>
      <protection locked="0"/>
    </xf>
    <xf numFmtId="0" fontId="49" fillId="0" borderId="1" xfId="0" applyFont="1" applyBorder="1" applyAlignment="1" applyProtection="1">
      <alignment vertical="center" wrapText="1"/>
      <protection locked="0"/>
    </xf>
    <xf numFmtId="0" fontId="49" fillId="0" borderId="2" xfId="0" applyFont="1" applyBorder="1" applyAlignment="1" applyProtection="1">
      <alignment horizontal="center" vertical="center" wrapText="1"/>
      <protection locked="0"/>
    </xf>
    <xf numFmtId="1" fontId="49" fillId="0" borderId="1" xfId="0" applyNumberFormat="1" applyFont="1" applyBorder="1" applyAlignment="1" applyProtection="1">
      <alignment horizontal="center" vertical="center"/>
      <protection locked="0"/>
    </xf>
    <xf numFmtId="0" fontId="49" fillId="4" borderId="1" xfId="0" applyNumberFormat="1" applyFont="1" applyFill="1" applyBorder="1" applyAlignment="1">
      <alignment horizontal="center" vertical="center"/>
    </xf>
    <xf numFmtId="9" fontId="49" fillId="4" borderId="1" xfId="1" applyNumberFormat="1" applyFont="1" applyFill="1" applyBorder="1" applyAlignment="1">
      <alignment horizontal="center" vertical="center"/>
    </xf>
    <xf numFmtId="0" fontId="49" fillId="0" borderId="1" xfId="0" applyFont="1" applyBorder="1" applyAlignment="1" applyProtection="1">
      <alignment horizontal="center" vertical="center"/>
      <protection locked="0"/>
    </xf>
    <xf numFmtId="0" fontId="49" fillId="0" borderId="2" xfId="0" applyFont="1" applyBorder="1" applyAlignment="1" applyProtection="1">
      <alignment horizontal="center"/>
      <protection locked="0"/>
    </xf>
    <xf numFmtId="0" fontId="22" fillId="0" borderId="0" xfId="0" applyFont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0" fontId="50" fillId="0" borderId="1" xfId="0" applyFont="1" applyBorder="1" applyAlignment="1" applyProtection="1">
      <alignment horizontal="center" vertical="center" wrapText="1"/>
      <protection locked="0"/>
    </xf>
    <xf numFmtId="0" fontId="50" fillId="0" borderId="1" xfId="0" applyFont="1" applyBorder="1" applyAlignment="1" applyProtection="1">
      <alignment vertical="center" wrapText="1"/>
      <protection locked="0"/>
    </xf>
    <xf numFmtId="0" fontId="50" fillId="0" borderId="2" xfId="0" applyFont="1" applyBorder="1" applyAlignment="1" applyProtection="1">
      <alignment horizontal="center" vertical="center" wrapText="1"/>
      <protection locked="0"/>
    </xf>
    <xf numFmtId="1" fontId="50" fillId="0" borderId="1" xfId="0" applyNumberFormat="1" applyFont="1" applyBorder="1" applyAlignment="1" applyProtection="1">
      <alignment horizontal="center" vertical="center"/>
      <protection locked="0"/>
    </xf>
    <xf numFmtId="0" fontId="50" fillId="4" borderId="1" xfId="0" applyNumberFormat="1" applyFont="1" applyFill="1" applyBorder="1" applyAlignment="1">
      <alignment horizontal="center" vertical="center"/>
    </xf>
    <xf numFmtId="9" fontId="50" fillId="4" borderId="1" xfId="1" applyNumberFormat="1" applyFont="1" applyFill="1" applyBorder="1" applyAlignment="1">
      <alignment horizontal="center" vertical="center"/>
    </xf>
    <xf numFmtId="0" fontId="50" fillId="0" borderId="1" xfId="0" applyFont="1" applyBorder="1" applyAlignment="1" applyProtection="1">
      <alignment horizontal="center" vertical="center"/>
      <protection locked="0"/>
    </xf>
    <xf numFmtId="0" fontId="50" fillId="0" borderId="2" xfId="0" applyFont="1" applyBorder="1" applyAlignment="1" applyProtection="1">
      <alignment horizontal="center"/>
      <protection locked="0"/>
    </xf>
    <xf numFmtId="0" fontId="51" fillId="0" borderId="1" xfId="0" applyFont="1" applyBorder="1" applyAlignment="1" applyProtection="1">
      <alignment horizontal="center" vertical="center" wrapText="1"/>
      <protection locked="0"/>
    </xf>
    <xf numFmtId="0" fontId="51" fillId="0" borderId="1" xfId="0" applyFont="1" applyBorder="1" applyAlignment="1" applyProtection="1">
      <alignment vertical="center" wrapText="1"/>
      <protection locked="0"/>
    </xf>
    <xf numFmtId="0" fontId="51" fillId="0" borderId="2" xfId="0" applyFont="1" applyBorder="1" applyAlignment="1" applyProtection="1">
      <alignment horizontal="center" vertical="center" wrapText="1"/>
      <protection locked="0"/>
    </xf>
    <xf numFmtId="1" fontId="51" fillId="0" borderId="1" xfId="0" applyNumberFormat="1" applyFont="1" applyBorder="1" applyAlignment="1" applyProtection="1">
      <alignment horizontal="center" vertical="center"/>
      <protection locked="0"/>
    </xf>
    <xf numFmtId="0" fontId="51" fillId="4" borderId="1" xfId="0" applyNumberFormat="1" applyFont="1" applyFill="1" applyBorder="1" applyAlignment="1">
      <alignment horizontal="center" vertical="center"/>
    </xf>
    <xf numFmtId="9" fontId="51" fillId="4" borderId="1" xfId="1" applyNumberFormat="1" applyFont="1" applyFill="1" applyBorder="1" applyAlignment="1">
      <alignment horizontal="center" vertical="center"/>
    </xf>
    <xf numFmtId="0" fontId="51" fillId="0" borderId="1" xfId="0" applyFont="1" applyBorder="1" applyAlignment="1" applyProtection="1">
      <alignment horizontal="center" vertical="center"/>
      <protection locked="0"/>
    </xf>
    <xf numFmtId="0" fontId="51" fillId="0" borderId="2" xfId="0" applyFont="1" applyBorder="1" applyAlignment="1" applyProtection="1">
      <alignment horizontal="center"/>
      <protection locked="0"/>
    </xf>
    <xf numFmtId="0" fontId="22" fillId="19" borderId="0" xfId="0" applyFont="1" applyFill="1" applyAlignment="1">
      <alignment horizontal="left" vertical="center"/>
    </xf>
    <xf numFmtId="0" fontId="52" fillId="0" borderId="1" xfId="0" applyFont="1" applyBorder="1" applyAlignment="1" applyProtection="1">
      <alignment horizontal="center" vertical="center" wrapText="1"/>
      <protection locked="0"/>
    </xf>
    <xf numFmtId="0" fontId="52" fillId="0" borderId="1" xfId="0" applyFont="1" applyBorder="1" applyAlignment="1" applyProtection="1">
      <alignment vertical="center" wrapText="1"/>
      <protection locked="0"/>
    </xf>
    <xf numFmtId="0" fontId="52" fillId="0" borderId="2" xfId="0" applyFont="1" applyBorder="1" applyAlignment="1" applyProtection="1">
      <alignment horizontal="center" vertical="center" wrapText="1"/>
      <protection locked="0"/>
    </xf>
    <xf numFmtId="1" fontId="52" fillId="0" borderId="1" xfId="0" applyNumberFormat="1" applyFont="1" applyBorder="1" applyAlignment="1" applyProtection="1">
      <alignment horizontal="center" vertical="center"/>
      <protection locked="0"/>
    </xf>
    <xf numFmtId="0" fontId="52" fillId="4" borderId="1" xfId="0" applyNumberFormat="1" applyFont="1" applyFill="1" applyBorder="1" applyAlignment="1">
      <alignment horizontal="center" vertical="center"/>
    </xf>
    <xf numFmtId="9" fontId="52" fillId="4" borderId="1" xfId="1" applyNumberFormat="1" applyFont="1" applyFill="1" applyBorder="1" applyAlignment="1">
      <alignment horizontal="center" vertical="center"/>
    </xf>
    <xf numFmtId="0" fontId="52" fillId="0" borderId="1" xfId="0" applyFont="1" applyBorder="1" applyAlignment="1" applyProtection="1">
      <alignment horizontal="center" vertical="center"/>
      <protection locked="0"/>
    </xf>
    <xf numFmtId="0" fontId="52" fillId="0" borderId="2" xfId="0" applyFont="1" applyBorder="1" applyAlignment="1" applyProtection="1">
      <alignment horizontal="center"/>
      <protection locked="0"/>
    </xf>
    <xf numFmtId="0" fontId="53" fillId="0" borderId="1" xfId="0" applyFont="1" applyBorder="1" applyAlignment="1" applyProtection="1">
      <alignment horizontal="center" vertical="center" wrapText="1"/>
      <protection locked="0"/>
    </xf>
    <xf numFmtId="0" fontId="53" fillId="0" borderId="1" xfId="0" applyFont="1" applyBorder="1" applyAlignment="1" applyProtection="1">
      <alignment vertical="center" wrapText="1"/>
      <protection locked="0"/>
    </xf>
    <xf numFmtId="0" fontId="53" fillId="0" borderId="2" xfId="0" applyFont="1" applyBorder="1" applyAlignment="1" applyProtection="1">
      <alignment horizontal="center" vertical="center" wrapText="1"/>
      <protection locked="0"/>
    </xf>
    <xf numFmtId="1" fontId="53" fillId="0" borderId="1" xfId="0" applyNumberFormat="1" applyFont="1" applyBorder="1" applyAlignment="1" applyProtection="1">
      <alignment horizontal="center" vertical="center"/>
      <protection locked="0"/>
    </xf>
    <xf numFmtId="0" fontId="53" fillId="4" borderId="1" xfId="0" applyNumberFormat="1" applyFont="1" applyFill="1" applyBorder="1" applyAlignment="1">
      <alignment horizontal="center" vertical="center"/>
    </xf>
    <xf numFmtId="9" fontId="53" fillId="4" borderId="1" xfId="1" applyNumberFormat="1" applyFont="1" applyFill="1" applyBorder="1" applyAlignment="1">
      <alignment horizontal="center" vertical="center"/>
    </xf>
    <xf numFmtId="0" fontId="53" fillId="0" borderId="1" xfId="0" applyFont="1" applyBorder="1" applyAlignment="1" applyProtection="1">
      <alignment horizontal="center" vertical="center"/>
      <protection locked="0"/>
    </xf>
    <xf numFmtId="0" fontId="53" fillId="0" borderId="2" xfId="0" applyFont="1" applyBorder="1" applyAlignment="1" applyProtection="1">
      <alignment horizontal="center"/>
      <protection locked="0"/>
    </xf>
    <xf numFmtId="0" fontId="22" fillId="19" borderId="1" xfId="0" applyFont="1" applyFill="1" applyBorder="1" applyAlignment="1" applyProtection="1">
      <alignment horizontal="center" vertical="center" wrapText="1"/>
      <protection locked="0"/>
    </xf>
    <xf numFmtId="0" fontId="22" fillId="19" borderId="1" xfId="0" applyFont="1" applyFill="1" applyBorder="1" applyAlignment="1" applyProtection="1">
      <alignment horizontal="left" vertical="center" wrapText="1"/>
      <protection locked="0"/>
    </xf>
    <xf numFmtId="16" fontId="22" fillId="19" borderId="1" xfId="0" applyNumberFormat="1" applyFont="1" applyFill="1" applyBorder="1" applyAlignment="1" applyProtection="1">
      <alignment horizontal="center" vertical="center" wrapText="1"/>
      <protection locked="0"/>
    </xf>
    <xf numFmtId="3" fontId="22" fillId="19" borderId="1" xfId="0" applyNumberFormat="1" applyFont="1" applyFill="1" applyBorder="1" applyAlignment="1" applyProtection="1">
      <alignment horizontal="center" vertical="center"/>
      <protection locked="0"/>
    </xf>
    <xf numFmtId="3" fontId="13" fillId="19" borderId="1" xfId="0" applyNumberFormat="1" applyFont="1" applyFill="1" applyBorder="1" applyAlignment="1" applyProtection="1">
      <alignment horizontal="center" vertical="center"/>
    </xf>
    <xf numFmtId="3" fontId="13" fillId="19" borderId="1" xfId="0" applyNumberFormat="1" applyFont="1" applyFill="1" applyBorder="1" applyAlignment="1">
      <alignment horizontal="center" vertical="center"/>
    </xf>
    <xf numFmtId="49" fontId="22" fillId="19" borderId="1" xfId="0" applyNumberFormat="1" applyFont="1" applyFill="1" applyBorder="1" applyAlignment="1" applyProtection="1">
      <alignment horizontal="left" vertical="center" wrapText="1"/>
      <protection locked="0"/>
    </xf>
    <xf numFmtId="49" fontId="22" fillId="19" borderId="1" xfId="0" applyNumberFormat="1" applyFont="1" applyFill="1" applyBorder="1" applyAlignment="1" applyProtection="1">
      <alignment horizontal="center" vertical="center" wrapText="1"/>
      <protection locked="0"/>
    </xf>
    <xf numFmtId="3" fontId="22" fillId="19" borderId="1" xfId="0" applyNumberFormat="1" applyFont="1" applyFill="1" applyBorder="1" applyAlignment="1" applyProtection="1">
      <alignment horizontal="left" vertical="center" wrapText="1"/>
      <protection locked="0"/>
    </xf>
    <xf numFmtId="0" fontId="22" fillId="19" borderId="1" xfId="0" applyFont="1" applyFill="1" applyBorder="1" applyAlignment="1">
      <alignment horizontal="center" vertical="center"/>
    </xf>
    <xf numFmtId="0" fontId="22" fillId="19" borderId="1" xfId="0" quotePrefix="1" applyFont="1" applyFill="1" applyBorder="1" applyAlignment="1">
      <alignment horizontal="center" vertical="center"/>
    </xf>
    <xf numFmtId="0" fontId="22" fillId="19" borderId="0" xfId="0" applyFont="1" applyFill="1"/>
    <xf numFmtId="0" fontId="54" fillId="0" borderId="1" xfId="0" applyFont="1" applyBorder="1" applyAlignment="1" applyProtection="1">
      <alignment horizontal="center" vertical="center" wrapText="1"/>
      <protection locked="0"/>
    </xf>
    <xf numFmtId="0" fontId="54" fillId="0" borderId="1" xfId="0" applyFont="1" applyBorder="1" applyAlignment="1" applyProtection="1">
      <alignment vertical="center" wrapText="1"/>
      <protection locked="0"/>
    </xf>
    <xf numFmtId="0" fontId="54" fillId="0" borderId="2" xfId="0" applyFont="1" applyBorder="1" applyAlignment="1" applyProtection="1">
      <alignment horizontal="center" vertical="center" wrapText="1"/>
      <protection locked="0"/>
    </xf>
    <xf numFmtId="1" fontId="54" fillId="0" borderId="1" xfId="0" applyNumberFormat="1" applyFont="1" applyBorder="1" applyAlignment="1" applyProtection="1">
      <alignment horizontal="center" vertical="center"/>
      <protection locked="0"/>
    </xf>
    <xf numFmtId="0" fontId="54" fillId="4" borderId="1" xfId="0" applyNumberFormat="1" applyFont="1" applyFill="1" applyBorder="1" applyAlignment="1">
      <alignment horizontal="center" vertical="center"/>
    </xf>
    <xf numFmtId="9" fontId="54" fillId="4" borderId="1" xfId="1" applyNumberFormat="1" applyFont="1" applyFill="1" applyBorder="1" applyAlignment="1">
      <alignment horizontal="center" vertical="center"/>
    </xf>
    <xf numFmtId="0" fontId="54" fillId="0" borderId="1" xfId="0" applyFont="1" applyBorder="1" applyAlignment="1" applyProtection="1">
      <alignment horizontal="center" vertical="center"/>
      <protection locked="0"/>
    </xf>
    <xf numFmtId="0" fontId="54" fillId="0" borderId="2" xfId="0" applyFont="1" applyBorder="1" applyAlignment="1" applyProtection="1">
      <alignment horizontal="center"/>
      <protection locked="0"/>
    </xf>
    <xf numFmtId="0" fontId="55" fillId="0" borderId="1" xfId="0" applyFont="1" applyBorder="1" applyAlignment="1" applyProtection="1">
      <alignment horizontal="center" vertical="center" wrapText="1"/>
      <protection locked="0"/>
    </xf>
    <xf numFmtId="0" fontId="55" fillId="0" borderId="1" xfId="0" applyFont="1" applyBorder="1" applyAlignment="1" applyProtection="1">
      <alignment vertical="center" wrapText="1"/>
      <protection locked="0"/>
    </xf>
    <xf numFmtId="0" fontId="55" fillId="0" borderId="2" xfId="0" applyFont="1" applyBorder="1" applyAlignment="1" applyProtection="1">
      <alignment horizontal="center" vertical="center" wrapText="1"/>
      <protection locked="0"/>
    </xf>
    <xf numFmtId="1" fontId="55" fillId="0" borderId="1" xfId="0" applyNumberFormat="1" applyFont="1" applyBorder="1" applyAlignment="1" applyProtection="1">
      <alignment horizontal="center" vertical="center"/>
      <protection locked="0"/>
    </xf>
    <xf numFmtId="0" fontId="55" fillId="4" borderId="1" xfId="0" applyNumberFormat="1" applyFont="1" applyFill="1" applyBorder="1" applyAlignment="1">
      <alignment horizontal="center" vertical="center"/>
    </xf>
    <xf numFmtId="9" fontId="55" fillId="4" borderId="1" xfId="1" applyNumberFormat="1" applyFont="1" applyFill="1" applyBorder="1" applyAlignment="1">
      <alignment horizontal="center" vertical="center"/>
    </xf>
    <xf numFmtId="0" fontId="55" fillId="0" borderId="1" xfId="0" applyFont="1" applyBorder="1" applyAlignment="1" applyProtection="1">
      <alignment horizontal="center" vertical="center"/>
      <protection locked="0"/>
    </xf>
    <xf numFmtId="0" fontId="55" fillId="0" borderId="2" xfId="0" applyFont="1" applyBorder="1" applyAlignment="1" applyProtection="1">
      <alignment horizontal="center"/>
      <protection locked="0"/>
    </xf>
    <xf numFmtId="0" fontId="0" fillId="19" borderId="1" xfId="0" applyFont="1" applyFill="1" applyBorder="1" applyAlignment="1" applyProtection="1">
      <alignment horizontal="center" vertical="center" wrapText="1"/>
      <protection locked="0"/>
    </xf>
    <xf numFmtId="0" fontId="0" fillId="19" borderId="1" xfId="0" applyFont="1" applyFill="1" applyBorder="1" applyAlignment="1" applyProtection="1">
      <alignment horizontal="left" vertical="center" wrapText="1"/>
      <protection locked="0"/>
    </xf>
    <xf numFmtId="16" fontId="0" fillId="19" borderId="1" xfId="0" applyNumberFormat="1" applyFont="1" applyFill="1" applyBorder="1" applyAlignment="1" applyProtection="1">
      <alignment horizontal="center" vertical="center" wrapText="1"/>
      <protection locked="0"/>
    </xf>
    <xf numFmtId="3" fontId="0" fillId="19" borderId="1" xfId="0" applyNumberFormat="1" applyFont="1" applyFill="1" applyBorder="1" applyAlignment="1" applyProtection="1">
      <alignment horizontal="center" vertical="center"/>
      <protection locked="0"/>
    </xf>
    <xf numFmtId="3" fontId="2" fillId="19" borderId="1" xfId="0" applyNumberFormat="1" applyFont="1" applyFill="1" applyBorder="1" applyAlignment="1" applyProtection="1">
      <alignment horizontal="center" vertical="center"/>
    </xf>
    <xf numFmtId="3" fontId="2" fillId="19" borderId="1" xfId="0" applyNumberFormat="1" applyFont="1" applyFill="1" applyBorder="1" applyAlignment="1">
      <alignment horizontal="center" vertical="center"/>
    </xf>
    <xf numFmtId="49" fontId="0" fillId="19" borderId="1" xfId="0" applyNumberFormat="1" applyFont="1" applyFill="1" applyBorder="1" applyAlignment="1" applyProtection="1">
      <alignment horizontal="left" vertical="center" wrapText="1"/>
      <protection locked="0"/>
    </xf>
    <xf numFmtId="49" fontId="0" fillId="19" borderId="1" xfId="0" applyNumberFormat="1" applyFont="1" applyFill="1" applyBorder="1" applyAlignment="1" applyProtection="1">
      <alignment horizontal="center" vertical="center" wrapText="1"/>
      <protection locked="0"/>
    </xf>
    <xf numFmtId="3" fontId="0" fillId="19" borderId="1" xfId="0" applyNumberFormat="1" applyFont="1" applyFill="1" applyBorder="1" applyAlignment="1" applyProtection="1">
      <alignment horizontal="left" vertical="center" wrapText="1"/>
      <protection locked="0"/>
    </xf>
    <xf numFmtId="0" fontId="0" fillId="19" borderId="1" xfId="0" applyFont="1" applyFill="1" applyBorder="1" applyAlignment="1">
      <alignment horizontal="center" vertical="center"/>
    </xf>
    <xf numFmtId="0" fontId="0" fillId="19" borderId="1" xfId="0" quotePrefix="1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1" xfId="0" applyFill="1" applyBorder="1" applyAlignment="1" applyProtection="1">
      <alignment horizontal="center" vertical="center" wrapText="1"/>
      <protection locked="0"/>
    </xf>
    <xf numFmtId="0" fontId="0" fillId="19" borderId="0" xfId="0" applyFont="1" applyFill="1" applyAlignment="1">
      <alignment horizontal="left" vertical="center"/>
    </xf>
    <xf numFmtId="0" fontId="0" fillId="19" borderId="0" xfId="0" applyFont="1" applyFill="1"/>
    <xf numFmtId="3" fontId="26" fillId="0" borderId="11" xfId="0" applyNumberFormat="1" applyFont="1" applyFill="1" applyBorder="1" applyAlignment="1">
      <alignment horizontal="center" vertical="center"/>
    </xf>
    <xf numFmtId="0" fontId="56" fillId="11" borderId="5" xfId="0" applyFont="1" applyFill="1" applyBorder="1" applyAlignment="1">
      <alignment horizontal="center" vertical="center"/>
    </xf>
    <xf numFmtId="0" fontId="56" fillId="11" borderId="6" xfId="0" applyFont="1" applyFill="1" applyBorder="1" applyAlignment="1">
      <alignment horizontal="center" vertical="center"/>
    </xf>
    <xf numFmtId="0" fontId="22" fillId="2" borderId="0" xfId="0" applyFont="1" applyFill="1"/>
    <xf numFmtId="0" fontId="13" fillId="17" borderId="8" xfId="0" applyFont="1" applyFill="1" applyBorder="1" applyAlignment="1">
      <alignment horizontal="center" vertical="top" wrapText="1"/>
    </xf>
    <xf numFmtId="0" fontId="7" fillId="5" borderId="1" xfId="0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0" fontId="27" fillId="0" borderId="5" xfId="0" applyFont="1" applyBorder="1" applyAlignment="1">
      <alignment horizontal="left" vertical="center" indent="1"/>
    </xf>
    <xf numFmtId="0" fontId="27" fillId="0" borderId="10" xfId="0" applyFont="1" applyBorder="1" applyAlignment="1">
      <alignment horizontal="left" vertical="center" indent="1"/>
    </xf>
    <xf numFmtId="0" fontId="27" fillId="0" borderId="4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indent="1"/>
    </xf>
    <xf numFmtId="1" fontId="2" fillId="0" borderId="5" xfId="0" applyNumberFormat="1" applyFont="1" applyBorder="1" applyAlignment="1">
      <alignment horizontal="left" vertical="center" indent="1"/>
    </xf>
    <xf numFmtId="1" fontId="2" fillId="0" borderId="4" xfId="0" applyNumberFormat="1" applyFont="1" applyBorder="1" applyAlignment="1">
      <alignment horizontal="left" vertical="center" indent="1"/>
    </xf>
    <xf numFmtId="0" fontId="2" fillId="4" borderId="5" xfId="0" applyFont="1" applyFill="1" applyBorder="1" applyAlignment="1">
      <alignment horizontal="left" vertical="center" indent="1"/>
    </xf>
    <xf numFmtId="0" fontId="2" fillId="4" borderId="4" xfId="0" applyFont="1" applyFill="1" applyBorder="1" applyAlignment="1">
      <alignment horizontal="left" vertical="center" indent="1"/>
    </xf>
    <xf numFmtId="0" fontId="2" fillId="4" borderId="1" xfId="0" applyFont="1" applyFill="1" applyBorder="1" applyAlignment="1">
      <alignment horizontal="left" vertical="center" indent="1"/>
    </xf>
    <xf numFmtId="0" fontId="2" fillId="0" borderId="5" xfId="0" applyFont="1" applyBorder="1" applyAlignment="1">
      <alignment horizontal="left" vertical="center" indent="1"/>
    </xf>
    <xf numFmtId="0" fontId="2" fillId="0" borderId="10" xfId="0" applyFont="1" applyBorder="1" applyAlignment="1">
      <alignment horizontal="left" vertical="center" indent="1"/>
    </xf>
    <xf numFmtId="0" fontId="2" fillId="0" borderId="4" xfId="0" applyFont="1" applyBorder="1" applyAlignment="1">
      <alignment horizontal="left" vertical="center" indent="1"/>
    </xf>
    <xf numFmtId="20" fontId="2" fillId="0" borderId="1" xfId="0" applyNumberFormat="1" applyFont="1" applyBorder="1" applyAlignment="1">
      <alignment horizontal="left" vertical="center" indent="1"/>
    </xf>
    <xf numFmtId="0" fontId="0" fillId="10" borderId="8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164" fontId="2" fillId="0" borderId="5" xfId="2" applyNumberFormat="1" applyFont="1" applyBorder="1" applyAlignment="1">
      <alignment vertical="center"/>
    </xf>
    <xf numFmtId="164" fontId="2" fillId="0" borderId="4" xfId="2" applyNumberFormat="1" applyFont="1" applyBorder="1" applyAlignment="1">
      <alignment vertical="center"/>
    </xf>
    <xf numFmtId="0" fontId="3" fillId="4" borderId="5" xfId="0" applyFont="1" applyFill="1" applyBorder="1" applyAlignment="1">
      <alignment horizontal="left" vertical="center" indent="1"/>
    </xf>
    <xf numFmtId="0" fontId="3" fillId="4" borderId="4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left" vertical="center" indent="1"/>
    </xf>
    <xf numFmtId="0" fontId="2" fillId="4" borderId="5" xfId="0" applyFont="1" applyFill="1" applyBorder="1" applyAlignment="1">
      <alignment horizontal="left" vertical="center" wrapText="1" indent="1"/>
    </xf>
    <xf numFmtId="0" fontId="2" fillId="4" borderId="4" xfId="0" applyFont="1" applyFill="1" applyBorder="1" applyAlignment="1">
      <alignment horizontal="left" vertical="center" wrapText="1" indent="1"/>
    </xf>
    <xf numFmtId="0" fontId="2" fillId="4" borderId="1" xfId="0" applyFont="1" applyFill="1" applyBorder="1" applyAlignment="1">
      <alignment horizontal="left" vertical="center" wrapText="1" indent="1"/>
    </xf>
    <xf numFmtId="0" fontId="7" fillId="5" borderId="5" xfId="0" applyFont="1" applyFill="1" applyBorder="1" applyAlignment="1" applyProtection="1">
      <alignment horizontal="center"/>
      <protection locked="0"/>
    </xf>
    <xf numFmtId="0" fontId="7" fillId="5" borderId="10" xfId="0" applyFont="1" applyFill="1" applyBorder="1" applyAlignment="1" applyProtection="1">
      <alignment horizontal="center"/>
      <protection locked="0"/>
    </xf>
    <xf numFmtId="0" fontId="7" fillId="5" borderId="4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</cellXfs>
  <cellStyles count="4">
    <cellStyle name="Comma" xfId="2" builtinId="3"/>
    <cellStyle name="Normal" xfId="0" builtinId="0"/>
    <cellStyle name="Normal 2" xfId="3"/>
    <cellStyle name="Percent" xfId="1" builtinId="5"/>
  </cellStyles>
  <dxfs count="1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lef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lef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1" formatCode="d\-mmm"/>
      <fill>
        <patternFill patternType="solid">
          <fgColor indexed="64"/>
          <bgColor rgb="FFFFFF00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39997558519241921"/>
        </patternFill>
      </fill>
      <alignment horizontal="center" vertical="top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21" formatCode="d\-mmm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39997558519241921"/>
        </patternFill>
      </fill>
      <alignment horizontal="center" vertical="top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39997558519241921"/>
        </patternFill>
      </fill>
      <alignment horizontal="center" vertical="top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21" formatCode="d\-mmm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39997558519241921"/>
        </patternFill>
      </fill>
      <alignment horizontal="center" vertical="top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solid">
          <fgColor indexed="64"/>
          <bgColor rgb="FFFFFF66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2499465926084170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5999938962981048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top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FF0066"/>
      <color rgb="FF0000FF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Overview by USD</a:t>
            </a:r>
            <a:endParaRPr lang="en-US"/>
          </a:p>
        </c:rich>
      </c:tx>
      <c:layout>
        <c:manualLayout>
          <c:xMode val="edge"/>
          <c:yMode val="edge"/>
          <c:x val="0.36733128834355838"/>
          <c:y val="2.3104701897799597E-2"/>
        </c:manualLayout>
      </c:layout>
    </c:title>
    <c:plotArea>
      <c:layout/>
      <c:barChart>
        <c:barDir val="col"/>
        <c:grouping val="stacked"/>
        <c:ser>
          <c:idx val="0"/>
          <c:order val="0"/>
          <c:tx>
            <c:strRef>
              <c:f>Reports!$A$6</c:f>
              <c:strCache>
                <c:ptCount val="1"/>
                <c:pt idx="0">
                  <c:v>100pax</c:v>
                </c:pt>
              </c:strCache>
            </c:strRef>
          </c:tx>
          <c:dLbls>
            <c:dLbl>
              <c:idx val="0"/>
              <c:showVal val="1"/>
              <c:showSerName val="1"/>
            </c:dLbl>
            <c:delete val="1"/>
          </c:dLbls>
          <c:cat>
            <c:strRef>
              <c:f>Reports!$B$2</c:f>
              <c:strCache>
                <c:ptCount val="1"/>
                <c:pt idx="0">
                  <c:v>FEB</c:v>
                </c:pt>
              </c:strCache>
            </c:strRef>
          </c:cat>
          <c:val>
            <c:numRef>
              <c:f>Reports!$F$6</c:f>
              <c:numCache>
                <c:formatCode>_(* #,##0_);_(* \(#,##0\);_(* "-"??_);_(@_)</c:formatCode>
                <c:ptCount val="1"/>
                <c:pt idx="0">
                  <c:v>6290.0917431192656</c:v>
                </c:pt>
              </c:numCache>
            </c:numRef>
          </c:val>
        </c:ser>
        <c:ser>
          <c:idx val="1"/>
          <c:order val="1"/>
          <c:tx>
            <c:strRef>
              <c:f>Reports!$A$7</c:f>
              <c:strCache>
                <c:ptCount val="1"/>
                <c:pt idx="0">
                  <c:v>500pax</c:v>
                </c:pt>
              </c:strCache>
            </c:strRef>
          </c:tx>
          <c:dLbls>
            <c:dLbl>
              <c:idx val="0"/>
              <c:showVal val="1"/>
              <c:showSerName val="1"/>
            </c:dLbl>
            <c:delete val="1"/>
          </c:dLbls>
          <c:cat>
            <c:strRef>
              <c:f>Reports!$B$2</c:f>
              <c:strCache>
                <c:ptCount val="1"/>
                <c:pt idx="0">
                  <c:v>FEB</c:v>
                </c:pt>
              </c:strCache>
            </c:strRef>
          </c:cat>
          <c:val>
            <c:numRef>
              <c:f>Reports!$F$7</c:f>
              <c:numCache>
                <c:formatCode>_(* #,##0_);_(* \(#,##0\);_(* "-"??_);_(@_)</c:formatCode>
                <c:ptCount val="1"/>
                <c:pt idx="0">
                  <c:v>4274.1284403669724</c:v>
                </c:pt>
              </c:numCache>
            </c:numRef>
          </c:val>
        </c:ser>
        <c:ser>
          <c:idx val="2"/>
          <c:order val="2"/>
          <c:tx>
            <c:strRef>
              <c:f>Reports!$A$8</c:f>
              <c:strCache>
                <c:ptCount val="1"/>
                <c:pt idx="0">
                  <c:v>1000pax</c:v>
                </c:pt>
              </c:strCache>
            </c:strRef>
          </c:tx>
          <c:dLbls>
            <c:dLbl>
              <c:idx val="0"/>
              <c:showVal val="1"/>
              <c:showSerName val="1"/>
            </c:dLbl>
            <c:delete val="1"/>
          </c:dLbls>
          <c:cat>
            <c:strRef>
              <c:f>Reports!$B$2</c:f>
              <c:strCache>
                <c:ptCount val="1"/>
                <c:pt idx="0">
                  <c:v>FEB</c:v>
                </c:pt>
              </c:strCache>
            </c:strRef>
          </c:cat>
          <c:val>
            <c:numRef>
              <c:f>Reports!$F$8</c:f>
              <c:numCache>
                <c:formatCode>_(* #,##0_);_(* \(#,##0\);_(* "-"??_);_(@_)</c:formatCode>
                <c:ptCount val="1"/>
                <c:pt idx="0">
                  <c:v>783.11926605504584</c:v>
                </c:pt>
              </c:numCache>
            </c:numRef>
          </c:val>
        </c:ser>
        <c:ser>
          <c:idx val="3"/>
          <c:order val="3"/>
          <c:tx>
            <c:strRef>
              <c:f>Reports!$A$9</c:f>
              <c:strCache>
                <c:ptCount val="1"/>
                <c:pt idx="0">
                  <c:v>1500-2000pax</c:v>
                </c:pt>
              </c:strCache>
            </c:strRef>
          </c:tx>
          <c:dLbls>
            <c:dLbl>
              <c:idx val="0"/>
              <c:showVal val="1"/>
              <c:showSerName val="1"/>
            </c:dLbl>
            <c:delete val="1"/>
          </c:dLbls>
          <c:cat>
            <c:strRef>
              <c:f>Reports!$B$2</c:f>
              <c:strCache>
                <c:ptCount val="1"/>
                <c:pt idx="0">
                  <c:v>FEB</c:v>
                </c:pt>
              </c:strCache>
            </c:strRef>
          </c:cat>
          <c:val>
            <c:numRef>
              <c:f>Reports!$F$9</c:f>
              <c:numCache>
                <c:formatCode>_(* #,##0_);_(* \(#,##0\);_(* "-"??_);_(@_)</c:formatCode>
                <c:ptCount val="1"/>
                <c:pt idx="0">
                  <c:v>3887.6146788990827</c:v>
                </c:pt>
              </c:numCache>
            </c:numRef>
          </c:val>
        </c:ser>
        <c:dLbls>
          <c:showVal val="1"/>
        </c:dLbls>
        <c:gapWidth val="177"/>
        <c:overlap val="100"/>
        <c:axId val="121058048"/>
        <c:axId val="121059584"/>
      </c:barChart>
      <c:catAx>
        <c:axId val="121058048"/>
        <c:scaling>
          <c:orientation val="minMax"/>
        </c:scaling>
        <c:axPos val="b"/>
        <c:majorTickMark val="none"/>
        <c:tickLblPos val="nextTo"/>
        <c:crossAx val="121059584"/>
        <c:crosses val="autoZero"/>
        <c:auto val="1"/>
        <c:lblAlgn val="ctr"/>
        <c:lblOffset val="100"/>
      </c:catAx>
      <c:valAx>
        <c:axId val="121059584"/>
        <c:scaling>
          <c:orientation val="minMax"/>
          <c:max val="20000"/>
          <c:min val="0"/>
        </c:scaling>
        <c:axPos val="l"/>
        <c:majorGridlines/>
        <c:numFmt formatCode="_(* #,##0_);_(* \(#,##0\);_(* &quot;-&quot;??_);_(@_)" sourceLinked="1"/>
        <c:majorTickMark val="none"/>
        <c:tickLblPos val="nextTo"/>
        <c:crossAx val="121058048"/>
        <c:crosses val="autoZero"/>
        <c:crossBetween val="between"/>
        <c:majorUnit val="2000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Overview No.Session</a:t>
            </a:r>
            <a:endParaRPr 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Reports!$A$6</c:f>
              <c:strCache>
                <c:ptCount val="1"/>
                <c:pt idx="0">
                  <c:v>100pax</c:v>
                </c:pt>
              </c:strCache>
            </c:strRef>
          </c:tx>
          <c:dLbls>
            <c:dLbl>
              <c:idx val="0"/>
              <c:showVal val="1"/>
              <c:showSerName val="1"/>
            </c:dLbl>
            <c:delete val="1"/>
          </c:dLbls>
          <c:cat>
            <c:strRef>
              <c:f>Reports!$B$2</c:f>
              <c:strCache>
                <c:ptCount val="1"/>
                <c:pt idx="0">
                  <c:v>FEB</c:v>
                </c:pt>
              </c:strCache>
            </c:strRef>
          </c:cat>
          <c:val>
            <c:numRef>
              <c:f>Reports!$B$6</c:f>
              <c:numCache>
                <c:formatCode>_(* #,##0_);_(* \(#,##0\);_(* "-"??_);_(@_)</c:formatCode>
                <c:ptCount val="1"/>
                <c:pt idx="0">
                  <c:v>117</c:v>
                </c:pt>
              </c:numCache>
            </c:numRef>
          </c:val>
        </c:ser>
        <c:ser>
          <c:idx val="1"/>
          <c:order val="1"/>
          <c:tx>
            <c:strRef>
              <c:f>Reports!$A$7</c:f>
              <c:strCache>
                <c:ptCount val="1"/>
                <c:pt idx="0">
                  <c:v>500pax</c:v>
                </c:pt>
              </c:strCache>
            </c:strRef>
          </c:tx>
          <c:dLbls>
            <c:dLbl>
              <c:idx val="0"/>
              <c:showVal val="1"/>
              <c:showSerName val="1"/>
            </c:dLbl>
            <c:delete val="1"/>
          </c:dLbls>
          <c:cat>
            <c:strRef>
              <c:f>Reports!$B$2</c:f>
              <c:strCache>
                <c:ptCount val="1"/>
                <c:pt idx="0">
                  <c:v>FEB</c:v>
                </c:pt>
              </c:strCache>
            </c:strRef>
          </c:cat>
          <c:val>
            <c:numRef>
              <c:f>Reports!$B$7</c:f>
              <c:numCache>
                <c:formatCode>_(* #,##0_);_(* \(#,##0\);_(* "-"??_);_(@_)</c:formatCode>
                <c:ptCount val="1"/>
                <c:pt idx="0">
                  <c:v>16</c:v>
                </c:pt>
              </c:numCache>
            </c:numRef>
          </c:val>
        </c:ser>
        <c:ser>
          <c:idx val="2"/>
          <c:order val="2"/>
          <c:tx>
            <c:strRef>
              <c:f>Reports!$A$8</c:f>
              <c:strCache>
                <c:ptCount val="1"/>
                <c:pt idx="0">
                  <c:v>1000pax</c:v>
                </c:pt>
              </c:strCache>
            </c:strRef>
          </c:tx>
          <c:dLbls>
            <c:dLbl>
              <c:idx val="0"/>
              <c:showVal val="1"/>
              <c:showSerName val="1"/>
            </c:dLbl>
            <c:delete val="1"/>
          </c:dLbls>
          <c:cat>
            <c:strRef>
              <c:f>Reports!$B$2</c:f>
              <c:strCache>
                <c:ptCount val="1"/>
                <c:pt idx="0">
                  <c:v>FEB</c:v>
                </c:pt>
              </c:strCache>
            </c:strRef>
          </c:cat>
          <c:val>
            <c:numRef>
              <c:f>Reports!$B$8</c:f>
              <c:numCache>
                <c:formatCode>_(* #,##0_);_(* \(#,##0\);_(* "-"??_);_(@_)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3"/>
          <c:tx>
            <c:strRef>
              <c:f>Reports!$A$9</c:f>
              <c:strCache>
                <c:ptCount val="1"/>
                <c:pt idx="0">
                  <c:v>1500-2000pax</c:v>
                </c:pt>
              </c:strCache>
            </c:strRef>
          </c:tx>
          <c:dLbls>
            <c:dLbl>
              <c:idx val="0"/>
              <c:showVal val="1"/>
              <c:showSerName val="1"/>
            </c:dLbl>
            <c:delete val="1"/>
          </c:dLbls>
          <c:cat>
            <c:strRef>
              <c:f>Reports!$B$2</c:f>
              <c:strCache>
                <c:ptCount val="1"/>
                <c:pt idx="0">
                  <c:v>FEB</c:v>
                </c:pt>
              </c:strCache>
            </c:strRef>
          </c:cat>
          <c:val>
            <c:numRef>
              <c:f>Reports!$B$9</c:f>
              <c:numCache>
                <c:formatCode>_(* #,##0_);_(* \(#,##0\);_(* "-"??_);_(@_)</c:formatCode>
                <c:ptCount val="1"/>
                <c:pt idx="0">
                  <c:v>2</c:v>
                </c:pt>
              </c:numCache>
            </c:numRef>
          </c:val>
        </c:ser>
        <c:gapWidth val="173"/>
        <c:overlap val="100"/>
        <c:axId val="121083392"/>
        <c:axId val="121084928"/>
      </c:barChart>
      <c:catAx>
        <c:axId val="121083392"/>
        <c:scaling>
          <c:orientation val="minMax"/>
        </c:scaling>
        <c:axPos val="b"/>
        <c:majorTickMark val="none"/>
        <c:tickLblPos val="nextTo"/>
        <c:crossAx val="121084928"/>
        <c:crosses val="autoZero"/>
        <c:auto val="1"/>
        <c:lblAlgn val="ctr"/>
        <c:lblOffset val="100"/>
      </c:catAx>
      <c:valAx>
        <c:axId val="121084928"/>
        <c:scaling>
          <c:orientation val="minMax"/>
          <c:max val="150"/>
        </c:scaling>
        <c:axPos val="l"/>
        <c:majorGridlines/>
        <c:numFmt formatCode="_(* #,##0_);_(* \(#,##0\);_(* &quot;-&quot;??_);_(@_)" sourceLinked="1"/>
        <c:majorTickMark val="none"/>
        <c:tickLblPos val="nextTo"/>
        <c:crossAx val="121083392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Overview Paid by Dist vs. AW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Reports!$D$5</c:f>
              <c:strCache>
                <c:ptCount val="1"/>
                <c:pt idx="0">
                  <c:v>Paid by Dist.</c:v>
                </c:pt>
              </c:strCache>
            </c:strRef>
          </c:tx>
          <c:cat>
            <c:strRef>
              <c:f>Reports!$A$6:$A$9</c:f>
              <c:strCache>
                <c:ptCount val="4"/>
                <c:pt idx="0">
                  <c:v>100pax</c:v>
                </c:pt>
                <c:pt idx="1">
                  <c:v>500pax</c:v>
                </c:pt>
                <c:pt idx="2">
                  <c:v>1000pax</c:v>
                </c:pt>
                <c:pt idx="3">
                  <c:v>1500-2000pax</c:v>
                </c:pt>
              </c:strCache>
            </c:strRef>
          </c:cat>
          <c:val>
            <c:numRef>
              <c:f>Reports!$D$6:$D$9</c:f>
              <c:numCache>
                <c:formatCode>_(* #,##0_);_(* \(#,##0\);_(* "-"??_);_(@_)</c:formatCode>
                <c:ptCount val="4"/>
                <c:pt idx="0">
                  <c:v>29560000</c:v>
                </c:pt>
                <c:pt idx="1">
                  <c:v>17298000</c:v>
                </c:pt>
                <c:pt idx="2">
                  <c:v>4268000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Reports!$E$5</c:f>
              <c:strCache>
                <c:ptCount val="1"/>
                <c:pt idx="0">
                  <c:v>Supported by AW</c:v>
                </c:pt>
              </c:strCache>
            </c:strRef>
          </c:tx>
          <c:dLbls>
            <c:showSerName val="1"/>
          </c:dLbls>
          <c:cat>
            <c:strRef>
              <c:f>Reports!$A$6:$A$9</c:f>
              <c:strCache>
                <c:ptCount val="4"/>
                <c:pt idx="0">
                  <c:v>100pax</c:v>
                </c:pt>
                <c:pt idx="1">
                  <c:v>500pax</c:v>
                </c:pt>
                <c:pt idx="2">
                  <c:v>1000pax</c:v>
                </c:pt>
                <c:pt idx="3">
                  <c:v>1500-2000pax</c:v>
                </c:pt>
              </c:strCache>
            </c:strRef>
          </c:cat>
          <c:val>
            <c:numRef>
              <c:f>Reports!$E$6:$E$9</c:f>
              <c:numCache>
                <c:formatCode>_(* #,##0_);_(* \(#,##0\);_(* "-"??_);_(@_)</c:formatCode>
                <c:ptCount val="4"/>
                <c:pt idx="0">
                  <c:v>137124000</c:v>
                </c:pt>
                <c:pt idx="1">
                  <c:v>93176000</c:v>
                </c:pt>
                <c:pt idx="2">
                  <c:v>17072000</c:v>
                </c:pt>
                <c:pt idx="3">
                  <c:v>84750000</c:v>
                </c:pt>
              </c:numCache>
            </c:numRef>
          </c:val>
        </c:ser>
        <c:overlap val="100"/>
        <c:axId val="136584576"/>
        <c:axId val="136590464"/>
      </c:barChart>
      <c:catAx>
        <c:axId val="136584576"/>
        <c:scaling>
          <c:orientation val="minMax"/>
        </c:scaling>
        <c:axPos val="b"/>
        <c:tickLblPos val="nextTo"/>
        <c:crossAx val="136590464"/>
        <c:crosses val="autoZero"/>
        <c:auto val="1"/>
        <c:lblAlgn val="ctr"/>
        <c:lblOffset val="100"/>
      </c:catAx>
      <c:valAx>
        <c:axId val="136590464"/>
        <c:scaling>
          <c:orientation val="minMax"/>
        </c:scaling>
        <c:axPos val="l"/>
        <c:majorGridlines/>
        <c:numFmt formatCode="_(* #,##0_);_(* \(#,##0\);_(* &quot;-&quot;??_);_(@_)" sourceLinked="1"/>
        <c:tickLblPos val="nextTo"/>
        <c:crossAx val="13658457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MeetingHistoryData!$W$3</c:f>
              <c:strCache>
                <c:ptCount val="1"/>
                <c:pt idx="0">
                  <c:v>Receipts</c:v>
                </c:pt>
              </c:strCache>
            </c:strRef>
          </c:tx>
          <c:cat>
            <c:multiLvlStrRef>
              <c:f>MeetingHistoryData!$A$4:$V$8</c:f>
              <c:multiLvlStrCache>
                <c:ptCount val="10"/>
                <c:lvl>
                  <c:pt idx="0">
                    <c:v>Done payment on 24 Sep'13 paid for Le Thi Anh Tuyet 2334307</c:v>
                  </c:pt>
                  <c:pt idx="1">
                    <c:v>Done payment on 24 Sep'13 paid for Le Thi Anh Tuyet 2334307</c:v>
                  </c:pt>
                  <c:pt idx="2">
                    <c:v>Done payment on 25 Sep'13 paid for Nguyen Thi Hao 2085896</c:v>
                  </c:pt>
                  <c:pt idx="3">
                    <c:v>Done payment on 23 Oct'13 </c:v>
                  </c:pt>
                  <c:pt idx="4">
                    <c:v>Done payment on 24 Sep'13</c:v>
                  </c:pt>
                  <c:pt idx="5">
                    <c:v>0028687</c:v>
                  </c:pt>
                  <c:pt idx="6">
                    <c:v>0028687</c:v>
                  </c:pt>
                  <c:pt idx="7">
                    <c:v>0041048</c:v>
                  </c:pt>
                  <c:pt idx="8">
                    <c:v>0000061</c:v>
                  </c:pt>
                  <c:pt idx="9">
                    <c:v>0000757</c:v>
                  </c:pt>
                </c:lvl>
                <c:lvl>
                  <c:pt idx="0">
                    <c:v>52/HĐKT/13</c:v>
                  </c:pt>
                  <c:pt idx="1">
                    <c:v>52/HĐKT/13</c:v>
                  </c:pt>
                  <c:pt idx="2">
                    <c:v>74/HĐ-NHQĐ</c:v>
                  </c:pt>
                  <c:pt idx="3">
                    <c:v>29/HĐKT/CNCTCPVHTB-TB"2013"</c:v>
                  </c:pt>
                  <c:pt idx="4">
                    <c:v>47/HĐKT/CNHT-PN/2013</c:v>
                  </c:pt>
                </c:lvl>
                <c:lvl>
                  <c:pt idx="0">
                    <c:v>done</c:v>
                  </c:pt>
                  <c:pt idx="1">
                    <c:v>done</c:v>
                  </c:pt>
                  <c:pt idx="2">
                    <c:v>done</c:v>
                  </c:pt>
                  <c:pt idx="3">
                    <c:v>done</c:v>
                  </c:pt>
                  <c:pt idx="4">
                    <c:v>Done</c:v>
                  </c:pt>
                  <c:pt idx="5">
                    <c:v>DONE</c:v>
                  </c:pt>
                  <c:pt idx="6">
                    <c:v>DONE</c:v>
                  </c:pt>
                  <c:pt idx="8">
                    <c:v>DONE</c:v>
                  </c:pt>
                  <c:pt idx="9">
                    <c:v>DONE</c:v>
                  </c:pt>
                </c:lvl>
                <c:lvl>
                  <c:pt idx="0">
                    <c:v>PAID 100% BY DIST</c:v>
                  </c:pt>
                  <c:pt idx="1">
                    <c:v>PAID 100% BY DIST</c:v>
                  </c:pt>
                  <c:pt idx="2">
                    <c:v>PAID 100% BY DIST</c:v>
                  </c:pt>
                  <c:pt idx="3">
                    <c:v>DIST PAID 20% TO VENUE</c:v>
                  </c:pt>
                  <c:pt idx="4">
                    <c:v>DIST PAID 20% TO VENUE</c:v>
                  </c:pt>
                </c:lvl>
                <c:lvl>
                  <c:pt idx="0">
                    <c:v>2,000,000</c:v>
                  </c:pt>
                  <c:pt idx="1">
                    <c:v>2,000,000</c:v>
                  </c:pt>
                  <c:pt idx="2">
                    <c:v>12,672,000</c:v>
                  </c:pt>
                  <c:pt idx="3">
                    <c:v>6,480,000</c:v>
                  </c:pt>
                  <c:pt idx="4">
                    <c:v>10,000,000</c:v>
                  </c:pt>
                </c:lvl>
                <c:lvl>
                  <c:pt idx="0">
                    <c:v>500,000</c:v>
                  </c:pt>
                  <c:pt idx="1">
                    <c:v>500,000</c:v>
                  </c:pt>
                  <c:pt idx="2">
                    <c:v>3,168,000</c:v>
                  </c:pt>
                  <c:pt idx="3">
                    <c:v>1,620,000</c:v>
                  </c:pt>
                  <c:pt idx="4">
                    <c:v>2,500,000</c:v>
                  </c:pt>
                </c:lvl>
                <c:lvl>
                  <c:pt idx="0">
                    <c:v>2,500,000</c:v>
                  </c:pt>
                  <c:pt idx="1">
                    <c:v>2,500,000</c:v>
                  </c:pt>
                  <c:pt idx="2">
                    <c:v>15,840,000</c:v>
                  </c:pt>
                  <c:pt idx="3">
                    <c:v>8,100,000</c:v>
                  </c:pt>
                  <c:pt idx="4">
                    <c:v>12,500,000</c:v>
                  </c:pt>
                </c:lvl>
                <c:lvl>
                  <c:pt idx="0">
                    <c:v>THANH HOA</c:v>
                  </c:pt>
                  <c:pt idx="1">
                    <c:v>THANH HOA</c:v>
                  </c:pt>
                  <c:pt idx="2">
                    <c:v>HN</c:v>
                  </c:pt>
                  <c:pt idx="3">
                    <c:v>HCM</c:v>
                  </c:pt>
                  <c:pt idx="4">
                    <c:v>HCM</c:v>
                  </c:pt>
                </c:lvl>
                <c:lvl>
                  <c:pt idx="0">
                    <c:v>SAO MAI HOTEL</c:v>
                  </c:pt>
                  <c:pt idx="1">
                    <c:v>SAO MAI HOTEL</c:v>
                  </c:pt>
                  <c:pt idx="2">
                    <c:v>MILITARY THEATRE</c:v>
                  </c:pt>
                  <c:pt idx="3">
                    <c:v>UNIQUE WEDDING</c:v>
                  </c:pt>
                  <c:pt idx="4">
                    <c:v>QUEEN PLAZA</c:v>
                  </c:pt>
                </c:lvl>
                <c:lvl>
                  <c:pt idx="0">
                    <c:v>8H - 12H</c:v>
                  </c:pt>
                  <c:pt idx="1">
                    <c:v>13H - 17H</c:v>
                  </c:pt>
                  <c:pt idx="2">
                    <c:v>13H - 17H</c:v>
                  </c:pt>
                  <c:pt idx="3">
                    <c:v>13H - 17H</c:v>
                  </c:pt>
                  <c:pt idx="4">
                    <c:v>14H - 18H</c:v>
                  </c:pt>
                </c:lvl>
                <c:lvl>
                  <c:pt idx="0">
                    <c:v>SEP</c:v>
                  </c:pt>
                  <c:pt idx="1">
                    <c:v>SEP</c:v>
                  </c:pt>
                  <c:pt idx="2">
                    <c:v>SEP</c:v>
                  </c:pt>
                  <c:pt idx="3">
                    <c:v>SEP</c:v>
                  </c:pt>
                  <c:pt idx="4">
                    <c:v>SEP</c:v>
                  </c:pt>
                </c:lvl>
                <c:lvl>
                  <c:pt idx="0">
                    <c:v>8</c:v>
                  </c:pt>
                  <c:pt idx="1">
                    <c:v>8</c:v>
                  </c:pt>
                  <c:pt idx="2">
                    <c:v>15</c:v>
                  </c:pt>
                  <c:pt idx="3">
                    <c:v>8</c:v>
                  </c:pt>
                  <c:pt idx="4">
                    <c:v>8</c:v>
                  </c:pt>
                </c:lvl>
                <c:lvl>
                  <c:pt idx="0">
                    <c:v>100pax</c:v>
                  </c:pt>
                  <c:pt idx="1">
                    <c:v>100pax</c:v>
                  </c:pt>
                  <c:pt idx="2">
                    <c:v>1000pax</c:v>
                  </c:pt>
                  <c:pt idx="3">
                    <c:v>500pax</c:v>
                  </c:pt>
                  <c:pt idx="4">
                    <c:v>500pax</c:v>
                  </c:pt>
                </c:lvl>
                <c:lvl>
                  <c:pt idx="0">
                    <c:v>LE THI ANH TUYET</c:v>
                  </c:pt>
                  <c:pt idx="1">
                    <c:v>LE THI ANH TUYET</c:v>
                  </c:pt>
                  <c:pt idx="2">
                    <c:v>NGUYEN THI HAO &amp; VO QUOC DAN</c:v>
                  </c:pt>
                  <c:pt idx="3">
                    <c:v>DAO THUY HIEN &amp; LE TRONG DAI
TRAN BAO KHANH
NGUYEN QUANG NHAT</c:v>
                  </c:pt>
                  <c:pt idx="4">
                    <c:v>DANG NGUYEN BICH TRAM
NGUYEN THI LAN CHI &amp; TRAN VAN NGHIA
LE THUY LINH</c:v>
                  </c:pt>
                </c:lvl>
                <c:lvl>
                  <c:pt idx="0">
                    <c:v>2334307</c:v>
                  </c:pt>
                  <c:pt idx="1">
                    <c:v>2334307</c:v>
                  </c:pt>
                  <c:pt idx="2">
                    <c:v>2085896</c:v>
                  </c:pt>
                  <c:pt idx="3">
                    <c:v>2452239
2342132
2293398</c:v>
                  </c:pt>
                  <c:pt idx="4">
                    <c:v>2202993
2110443
2164696</c:v>
                  </c:pt>
                </c:lvl>
                <c:lvl>
                  <c:pt idx="0">
                    <c:v>Platinum</c:v>
                  </c:pt>
                  <c:pt idx="1">
                    <c:v>Platinum</c:v>
                  </c:pt>
                  <c:pt idx="2">
                    <c:v>Diamond</c:v>
                  </c:pt>
                  <c:pt idx="3">
                    <c:v>Platinum</c:v>
                  </c:pt>
                  <c:pt idx="4">
                    <c:v>Platinum</c:v>
                  </c:pt>
                </c:lvl>
                <c:lvl>
                  <c:pt idx="0">
                    <c:v>LE THI ANH TUYET</c:v>
                  </c:pt>
                  <c:pt idx="1">
                    <c:v>LE THI ANH TUYET</c:v>
                  </c:pt>
                  <c:pt idx="2">
                    <c:v>NGUYEN THI HAO &amp; VO QUOC DAN</c:v>
                  </c:pt>
                  <c:pt idx="3">
                    <c:v>DAO THUY HIEN &amp; LE TRONG DAI</c:v>
                  </c:pt>
                  <c:pt idx="4">
                    <c:v>DANG NGUYEN BICH TRAM</c:v>
                  </c:pt>
                </c:lvl>
                <c:lvl>
                  <c:pt idx="0">
                    <c:v>2334307</c:v>
                  </c:pt>
                  <c:pt idx="1">
                    <c:v>2334307</c:v>
                  </c:pt>
                  <c:pt idx="2">
                    <c:v>2085896</c:v>
                  </c:pt>
                  <c:pt idx="3">
                    <c:v>2452239</c:v>
                  </c:pt>
                  <c:pt idx="4">
                    <c:v>2202993</c:v>
                  </c:pt>
                </c:lvl>
              </c:multiLvlStrCache>
            </c:multiLvlStrRef>
          </c:cat>
          <c:val>
            <c:numRef>
              <c:f>MeetingHistoryData!$W$4:$W$8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162484992"/>
        <c:axId val="162486528"/>
      </c:barChart>
      <c:catAx>
        <c:axId val="162484992"/>
        <c:scaling>
          <c:orientation val="minMax"/>
        </c:scaling>
        <c:axPos val="b"/>
        <c:tickLblPos val="nextTo"/>
        <c:crossAx val="162486528"/>
        <c:crosses val="autoZero"/>
        <c:auto val="1"/>
        <c:lblAlgn val="ctr"/>
        <c:lblOffset val="100"/>
      </c:catAx>
      <c:valAx>
        <c:axId val="162486528"/>
        <c:scaling>
          <c:orientation val="minMax"/>
        </c:scaling>
        <c:axPos val="l"/>
        <c:majorGridlines/>
        <c:numFmt formatCode="General" sourceLinked="1"/>
        <c:tickLblPos val="nextTo"/>
        <c:crossAx val="162484992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130967</xdr:colOff>
      <xdr:row>11</xdr:row>
      <xdr:rowOff>23814</xdr:rowOff>
    </xdr:from>
    <xdr:to>
      <xdr:col>3</xdr:col>
      <xdr:colOff>785812</xdr:colOff>
      <xdr:row>11</xdr:row>
      <xdr:rowOff>3321844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857251</xdr:colOff>
      <xdr:row>11</xdr:row>
      <xdr:rowOff>23813</xdr:rowOff>
    </xdr:from>
    <xdr:to>
      <xdr:col>7</xdr:col>
      <xdr:colOff>644260</xdr:colOff>
      <xdr:row>11</xdr:row>
      <xdr:rowOff>3321844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726278</xdr:colOff>
      <xdr:row>11</xdr:row>
      <xdr:rowOff>35721</xdr:rowOff>
    </xdr:from>
    <xdr:to>
      <xdr:col>14</xdr:col>
      <xdr:colOff>535782</xdr:colOff>
      <xdr:row>11</xdr:row>
      <xdr:rowOff>3333752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8434" cy="609370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5" name="ADAList" displayName="ADAList" ref="C34:J39" totalsRowShown="0" headerRowDxfId="195" dataDxfId="193" headerRowBorderDxfId="194" tableBorderDxfId="192" totalsRowBorderDxfId="191">
  <autoFilter ref="C34:J39">
    <filterColumn colId="7"/>
  </autoFilter>
  <tableColumns count="8">
    <tableColumn id="1" name="ADA" dataDxfId="190"/>
    <tableColumn id="2" name="Dist Name" dataDxfId="189"/>
    <tableColumn id="3" name="Title" dataDxfId="188"/>
    <tableColumn id="4" name="Quota" dataDxfId="187"/>
    <tableColumn id="5" name="Actual" dataDxfId="186"/>
    <tableColumn id="6" name="Remain" dataDxfId="185"/>
    <tableColumn id="7" name="% Used" dataDxfId="184"/>
    <tableColumn id="8" name="Status" dataDxfId="18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3" name="MeetingSubsidizationReportTable" displayName="MeetingSubsidizationReportTable" ref="A5:F10" totalsRowCount="1" headerRowDxfId="181" dataDxfId="179" headerRowBorderDxfId="180" tableBorderDxfId="178" totalsRowBorderDxfId="177">
  <autoFilter ref="A5:F9"/>
  <tableColumns count="6">
    <tableColumn id="2" name="Meeting Type" totalsRowLabel="Total" dataDxfId="176" totalsRowDxfId="175"/>
    <tableColumn id="3" name="No. Session" totalsRowFunction="sum" dataDxfId="174" totalsRowDxfId="173" dataCellStyle="Comma"/>
    <tableColumn id="4" name="Rental Cost" dataDxfId="172" totalsRowDxfId="171" dataCellStyle="Comma"/>
    <tableColumn id="7" name="Paid by Dist." dataDxfId="170" totalsRowDxfId="169" dataCellStyle="Comma"/>
    <tableColumn id="8" name="Supported by AW" totalsRowFunction="sum" dataDxfId="168" totalsRowDxfId="167" dataCellStyle="Comma"/>
    <tableColumn id="1" name="USD" totalsRowFunction="sum" dataDxfId="166" totalsRowDxfId="165" dataCellStyle="Comma">
      <calculatedColumnFormula>MeetingSubsidizationReportTable[[#This Row],[Supported by AW]]/$F$2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MeetingSubsidizationReport100paxTable" displayName="MeetingSubsidizationReport100paxTable" ref="A14:F39" totalsRowCount="1" headerRowDxfId="164" totalsRowDxfId="161" headerRowBorderDxfId="163" tableBorderDxfId="162" totalsRowBorderDxfId="160">
  <autoFilter ref="A14:F38">
    <filterColumn colId="5"/>
  </autoFilter>
  <sortState ref="A15:F38">
    <sortCondition ref="B15:B38"/>
  </sortState>
  <tableColumns count="6">
    <tableColumn id="1" name="100pax" totalsRowLabel="Total" totalsRowDxfId="159"/>
    <tableColumn id="2" name="No. Session" totalsRowFunction="sum" dataDxfId="158" totalsRowDxfId="157" dataCellStyle="Comma"/>
    <tableColumn id="3" name="Rental Cost" totalsRowDxfId="156" dataCellStyle="Comma"/>
    <tableColumn id="4" name="Paid by Dist." totalsRowDxfId="155" dataCellStyle="Comma"/>
    <tableColumn id="5" name="Supported by AW" totalsRowFunction="sum" dataDxfId="154" totalsRowDxfId="153" dataCellStyle="Comma"/>
    <tableColumn id="6" name="USD" totalsRowFunction="sum" dataDxfId="152" totalsRowDxfId="151" dataCellStyle="Comma">
      <calculatedColumnFormula>MeetingSubsidizationReport100paxTable[[#This Row],[Supported by AW]]/$F$2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MeetingSubsidizationReport500paxTable" displayName="MeetingSubsidizationReport500paxTable" ref="A41:F50" totalsRowCount="1" headerRowDxfId="150" totalsRowDxfId="147" headerRowBorderDxfId="149" tableBorderDxfId="148" totalsRowBorderDxfId="146">
  <autoFilter ref="A41:F49">
    <filterColumn colId="5"/>
  </autoFilter>
  <tableColumns count="6">
    <tableColumn id="1" name="500pax" totalsRowLabel="Total" dataDxfId="145" totalsRowDxfId="144"/>
    <tableColumn id="2" name="No. Session" totalsRowFunction="sum" dataDxfId="143" totalsRowDxfId="142" dataCellStyle="Comma"/>
    <tableColumn id="3" name="Rental Cost" dataDxfId="141" totalsRowDxfId="140" dataCellStyle="Comma"/>
    <tableColumn id="4" name="Paid by Dist." dataDxfId="139" totalsRowDxfId="138" dataCellStyle="Comma"/>
    <tableColumn id="5" name="Supported by AW" totalsRowFunction="sum" dataDxfId="137" totalsRowDxfId="136" dataCellStyle="Comma"/>
    <tableColumn id="6" name="USD" totalsRowFunction="sum" dataDxfId="135" totalsRowDxfId="134" dataCellStyle="Comma">
      <calculatedColumnFormula>MeetingSubsidizationReport500paxTable[[#This Row],[Supported by AW]]/$F$2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MeetingSubsidizationReport1000paxTable" displayName="MeetingSubsidizationReport1000paxTable" ref="A52:F58" totalsRowCount="1" headerRowDxfId="133" totalsRowDxfId="130" headerRowBorderDxfId="132" tableBorderDxfId="131" totalsRowBorderDxfId="129">
  <autoFilter ref="A52:F57">
    <filterColumn colId="5"/>
  </autoFilter>
  <tableColumns count="6">
    <tableColumn id="1" name="1000pax" totalsRowLabel="Total" dataDxfId="128" totalsRowDxfId="127"/>
    <tableColumn id="2" name="No. Session" totalsRowFunction="sum" dataDxfId="126" totalsRowDxfId="125" dataCellStyle="Comma"/>
    <tableColumn id="3" name="Rental Cost" dataDxfId="124" totalsRowDxfId="123" dataCellStyle="Comma"/>
    <tableColumn id="4" name="Paid by Dist." dataDxfId="122" totalsRowDxfId="121" dataCellStyle="Comma"/>
    <tableColumn id="5" name="Supported by AW" totalsRowFunction="sum" dataDxfId="120" totalsRowDxfId="119" dataCellStyle="Comma"/>
    <tableColumn id="6" name="USD" totalsRowFunction="sum" dataDxfId="118" totalsRowDxfId="117" dataCellStyle="Comma">
      <calculatedColumnFormula>MeetingSubsidizationReport1000paxTable[[#This Row],[Supported by AW]]/$F$2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MeetingSubsidizationReport15002000paxTable" displayName="MeetingSubsidizationReport15002000paxTable" ref="A60:F63" totalsRowCount="1" headerRowDxfId="116" totalsRowDxfId="113" headerRowBorderDxfId="115" tableBorderDxfId="114" totalsRowBorderDxfId="112">
  <autoFilter ref="A60:F62"/>
  <tableColumns count="6">
    <tableColumn id="1" name="1500-2000pax" totalsRowLabel="Total" dataDxfId="111" totalsRowDxfId="110"/>
    <tableColumn id="2" name="No. Session" totalsRowFunction="sum" dataDxfId="109" totalsRowDxfId="108" dataCellStyle="Comma"/>
    <tableColumn id="3" name="Rental Cost" dataDxfId="107" totalsRowDxfId="106" dataCellStyle="Comma"/>
    <tableColumn id="4" name="Paid by Dist." dataDxfId="105" totalsRowDxfId="104" dataCellStyle="Comma"/>
    <tableColumn id="5" name="Supported by AW" totalsRowFunction="sum" dataDxfId="103" totalsRowDxfId="102" dataCellStyle="Comma"/>
    <tableColumn id="6" name="USD" totalsRowFunction="sum" dataDxfId="101" totalsRowDxfId="100" dataCellStyle="Comma">
      <calculatedColumnFormula>MeetingSubsidizationReport15002000paxTable[[#This Row],[Supported by AW]]/$F$2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MeetingHistoryData" displayName="MeetingHistoryData" ref="A3:W8" totalsRowShown="0" headerRowDxfId="99" dataDxfId="97" headerRowBorderDxfId="98" tableBorderDxfId="96" totalsRowBorderDxfId="95">
  <autoFilter ref="A3:W8">
    <filterColumn colId="1"/>
    <filterColumn colId="3"/>
    <filterColumn colId="4"/>
    <filterColumn colId="5"/>
    <filterColumn colId="6"/>
    <filterColumn colId="7"/>
    <filterColumn colId="9"/>
    <filterColumn colId="10"/>
    <filterColumn colId="14"/>
    <filterColumn colId="15"/>
    <filterColumn colId="16"/>
    <filterColumn colId="17"/>
    <filterColumn colId="18"/>
    <filterColumn colId="19"/>
    <filterColumn colId="20"/>
    <filterColumn colId="21"/>
    <filterColumn colId="22"/>
  </autoFilter>
  <sortState ref="A993:V993">
    <sortCondition ref="J3:J996"/>
  </sortState>
  <tableColumns count="23">
    <tableColumn id="1" name="ADA" dataDxfId="94"/>
    <tableColumn id="2" name="Organize Name" dataDxfId="93"/>
    <tableColumn id="3" name="Dist Title" dataDxfId="92"/>
    <tableColumn id="23" name="Column1" dataDxfId="1"/>
    <tableColumn id="24" name="Quota Meeting" dataDxfId="0"/>
    <tableColumn id="4" name="Meeting Type" dataDxfId="91"/>
    <tableColumn id="9" name="Meeting Day" dataDxfId="90"/>
    <tableColumn id="5" name="Meeting Month" dataDxfId="89"/>
    <tableColumn id="6" name="Meeting Hour" dataDxfId="88"/>
    <tableColumn id="7" name="Meeting Place" dataDxfId="87"/>
    <tableColumn id="8" name="Province" dataDxfId="86"/>
    <tableColumn id="10" name="Rental Cost" dataDxfId="85"/>
    <tableColumn id="11" name="Paid By Dist" dataDxfId="84">
      <calculatedColumnFormula>MeetingHistoryData[[#This Row],[Rental Cost]]-MeetingHistoryData[[#This Row],[Supported By AW]]</calculatedColumnFormula>
    </tableColumn>
    <tableColumn id="13" name="Supported By AW" dataDxfId="83">
      <calculatedColumnFormula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calculatedColumnFormula>
    </tableColumn>
    <tableColumn id="12" name="Official Receipt No." dataDxfId="82"/>
    <tableColumn id="14" name="Status" dataDxfId="81"/>
    <tableColumn id="15" name="Contract" dataDxfId="80"/>
    <tableColumn id="16" name="Notes" dataDxfId="79"/>
    <tableColumn id="17" name="Last Updated" dataDxfId="78"/>
    <tableColumn id="18" name="Report" dataDxfId="77"/>
    <tableColumn id="22" name="Report&#10;Sales" dataDxfId="76"/>
    <tableColumn id="19" name="Invoice" dataDxfId="75"/>
    <tableColumn id="21" name="Receipts" dataDxfId="7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" name="DistMeetingQuota" displayName="DistMeetingQuota" ref="A16:Q1176" totalsRowShown="0" headerRowDxfId="71" dataDxfId="69" headerRowBorderDxfId="70" tableBorderDxfId="68" totalsRowBorderDxfId="67">
  <autoFilter ref="A16:Q1176">
    <filterColumn colId="1"/>
    <filterColumn colId="2"/>
    <filterColumn colId="3"/>
    <filterColumn colId="5"/>
    <filterColumn colId="6"/>
    <filterColumn colId="9"/>
    <filterColumn colId="10"/>
    <filterColumn colId="11"/>
    <filterColumn colId="12"/>
    <filterColumn colId="13"/>
    <filterColumn colId="14"/>
    <filterColumn colId="15"/>
    <filterColumn colId="16"/>
  </autoFilter>
  <sortState ref="A22:O213">
    <sortCondition ref="A14:A219"/>
  </sortState>
  <tableColumns count="17">
    <tableColumn id="1" name="ADA" dataDxfId="66"/>
    <tableColumn id="2" name="Dist Name" dataDxfId="65"/>
    <tableColumn id="3" name="Dist Title" dataDxfId="64"/>
    <tableColumn id="4" name="Meeting Type" dataDxfId="63"/>
    <tableColumn id="5" name="Quota" dataDxfId="62"/>
    <tableColumn id="26" name="Actual" dataDxfId="61">
      <calculatedColumnFormula>SUM(DistMeetingQuota[[#This Row],[Sep]:[Feb]])</calculatedColumnFormula>
    </tableColumn>
    <tableColumn id="8" name="Remain" dataDxfId="60">
      <calculatedColumnFormula>DistMeetingQuota[[#This Row],[Quota]]-DistMeetingQuota[[#This Row],[Actual]]</calculatedColumnFormula>
    </tableColumn>
    <tableColumn id="9" name="% Used" dataDxfId="59" dataCellStyle="Percent">
      <calculatedColumnFormula>DistMeetingQuota[[#This Row],[Actual]]/DistMeetingQuota[[#This Row],[Quota]]</calculatedColumnFormula>
    </tableColumn>
    <tableColumn id="7" name="Sep" dataDxfId="58"/>
    <tableColumn id="18" name="Oct" dataDxfId="57"/>
    <tableColumn id="21" name="Nov" dataDxfId="56"/>
    <tableColumn id="22" name="Dec" dataDxfId="55"/>
    <tableColumn id="23" name="Jan" dataDxfId="54"/>
    <tableColumn id="24" name="Feb" dataDxfId="53"/>
    <tableColumn id="25" name="Notes" dataDxfId="52"/>
    <tableColumn id="10" name="Province" dataDxfId="51"/>
    <tableColumn id="6" name="Column1" dataDxfId="5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MeetingHistoryData11" displayName="MeetingHistoryData11" ref="A3:Q40" totalsRowShown="0" headerRowDxfId="49" dataDxfId="47" headerRowBorderDxfId="48" tableBorderDxfId="46" totalsRowBorderDxfId="45">
  <autoFilter ref="A3:Q40">
    <filterColumn colId="1"/>
    <filterColumn colId="3"/>
    <filterColumn colId="4"/>
    <filterColumn colId="5"/>
    <filterColumn colId="7"/>
    <filterColumn colId="8"/>
    <filterColumn colId="9"/>
    <filterColumn colId="11"/>
    <filterColumn colId="12"/>
    <filterColumn colId="13"/>
    <filterColumn colId="14"/>
    <filterColumn colId="15"/>
    <filterColumn colId="16"/>
  </autoFilter>
  <sortState ref="A4:T4">
    <sortCondition ref="H3:H996"/>
  </sortState>
  <tableColumns count="17">
    <tableColumn id="1" name="ADA" dataDxfId="44"/>
    <tableColumn id="2" name="Dist Name" dataDxfId="43"/>
    <tableColumn id="3" name="Dist Title" dataDxfId="42"/>
    <tableColumn id="4" name="Meeting Type" dataDxfId="41"/>
    <tableColumn id="9" name="Meeting Day" dataDxfId="40"/>
    <tableColumn id="5" name="Meeting Month" dataDxfId="39"/>
    <tableColumn id="6" name="Meeting Hour" dataDxfId="38"/>
    <tableColumn id="7" name="Meeting Place" dataDxfId="37"/>
    <tableColumn id="8" name="Province" dataDxfId="36"/>
    <tableColumn id="10" name="Total cost" dataDxfId="35"/>
    <tableColumn id="13" name="Supported By AW" dataDxfId="34">
      <calculatedColumnFormula>MeetingHistoryData11[[#This Row],[Total cost]]</calculatedColumnFormula>
    </tableColumn>
    <tableColumn id="12" name="Official Receipt No." dataDxfId="33"/>
    <tableColumn id="14" name="Status" dataDxfId="32"/>
    <tableColumn id="16" name="Invoice Code " dataDxfId="31"/>
    <tableColumn id="17" name="Last Updated" dataDxfId="30"/>
    <tableColumn id="11" name="Organise" dataDxfId="29"/>
    <tableColumn id="15" name="Note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MeetingHistoryData10" displayName="MeetingHistoryData10" ref="A3:U7" totalsRowShown="0" headerRowDxfId="27" dataDxfId="25" headerRowBorderDxfId="26" tableBorderDxfId="24" totalsRowBorderDxfId="23">
  <autoFilter ref="A3:U7">
    <filterColumn colId="1"/>
    <filterColumn colId="3"/>
    <filterColumn colId="4"/>
    <filterColumn colId="5"/>
    <filterColumn colId="7"/>
    <filterColumn colId="8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</autoFilter>
  <sortState ref="A4:T4">
    <sortCondition ref="H3:H996"/>
  </sortState>
  <tableColumns count="21">
    <tableColumn id="1" name="ADA" dataDxfId="22"/>
    <tableColumn id="2" name="Dist Name" dataDxfId="21"/>
    <tableColumn id="3" name="Dist Title" dataDxfId="20"/>
    <tableColumn id="4" name="Meeting Type" dataDxfId="19"/>
    <tableColumn id="9" name="Meeting Day" dataDxfId="18"/>
    <tableColumn id="5" name="Meeting Month" dataDxfId="17"/>
    <tableColumn id="6" name="Meeting Hour" dataDxfId="16"/>
    <tableColumn id="7" name="Meeting Place" dataDxfId="15"/>
    <tableColumn id="8" name="Province" dataDxfId="14"/>
    <tableColumn id="10" name="Rental Cost" dataDxfId="13"/>
    <tableColumn id="11" name="Paid By Dist" dataDxfId="12">
      <calculatedColumnFormula>MeetingHistoryData[[#This Row],[Rental Cost]]-MeetingHistoryData[[#This Row],[Supported By AW]]</calculatedColumnFormula>
    </tableColumn>
    <tableColumn id="13" name="Supported By AW" dataDxfId="11">
      <calculatedColumnFormula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calculatedColumnFormula>
    </tableColumn>
    <tableColumn id="12" name="Official Receipt No." dataDxfId="10"/>
    <tableColumn id="14" name="Status" dataDxfId="9"/>
    <tableColumn id="15" name="Contract" dataDxfId="8"/>
    <tableColumn id="16" name="Notes" dataDxfId="7"/>
    <tableColumn id="17" name="Last Updated" dataDxfId="6"/>
    <tableColumn id="18" name="Report" dataDxfId="5"/>
    <tableColumn id="19" name="Invoice" dataDxfId="4"/>
    <tableColumn id="20" name="Organise" dataDxfId="3"/>
    <tableColumn id="21" name="Receipt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AI135"/>
  <sheetViews>
    <sheetView topLeftCell="A34" zoomScale="90" zoomScaleNormal="90" workbookViewId="0">
      <selection activeCell="C37" sqref="C37"/>
    </sheetView>
  </sheetViews>
  <sheetFormatPr defaultRowHeight="15"/>
  <cols>
    <col min="1" max="1" width="1.85546875" style="1" customWidth="1"/>
    <col min="2" max="2" width="16.42578125" customWidth="1"/>
    <col min="3" max="3" width="12" bestFit="1" customWidth="1"/>
    <col min="4" max="4" width="22.42578125" customWidth="1"/>
    <col min="5" max="5" width="23.140625" customWidth="1"/>
    <col min="6" max="6" width="11.5703125" customWidth="1"/>
    <col min="7" max="7" width="17.7109375" customWidth="1"/>
    <col min="8" max="8" width="16.140625" customWidth="1"/>
    <col min="9" max="9" width="14" customWidth="1"/>
    <col min="10" max="10" width="24.5703125" style="1" customWidth="1"/>
    <col min="11" max="11" width="3.5703125" style="1" customWidth="1"/>
    <col min="12" max="35" width="9.140625" style="1"/>
  </cols>
  <sheetData>
    <row r="1" spans="2:8" ht="15" hidden="1" customHeight="1">
      <c r="B1" s="496" t="s">
        <v>54</v>
      </c>
      <c r="C1" s="497"/>
      <c r="D1" s="497"/>
      <c r="E1" s="497"/>
      <c r="H1" s="498" t="s">
        <v>71</v>
      </c>
    </row>
    <row r="2" spans="2:8" ht="15" hidden="1" customHeight="1">
      <c r="B2" s="102" t="s">
        <v>5</v>
      </c>
      <c r="C2" s="102" t="s">
        <v>11</v>
      </c>
      <c r="D2" s="102" t="s">
        <v>13</v>
      </c>
      <c r="E2" s="103" t="s">
        <v>487</v>
      </c>
      <c r="H2" s="499"/>
    </row>
    <row r="3" spans="2:8" ht="15" hidden="1" customHeight="1">
      <c r="B3" s="34" t="s">
        <v>64</v>
      </c>
      <c r="C3" s="34" t="s">
        <v>10</v>
      </c>
      <c r="D3" s="34" t="s">
        <v>10</v>
      </c>
      <c r="E3" s="104" t="s">
        <v>10</v>
      </c>
      <c r="H3" s="34" t="b">
        <v>1</v>
      </c>
    </row>
    <row r="4" spans="2:8" ht="15" hidden="1" customHeight="1">
      <c r="B4" s="34" t="s">
        <v>68</v>
      </c>
      <c r="C4" s="34" t="s">
        <v>14</v>
      </c>
      <c r="D4" s="34" t="s">
        <v>14</v>
      </c>
      <c r="E4" s="104" t="s">
        <v>14</v>
      </c>
      <c r="H4" s="34" t="b">
        <v>1</v>
      </c>
    </row>
    <row r="5" spans="2:8" ht="15" hidden="1" customHeight="1">
      <c r="B5" s="34" t="s">
        <v>474</v>
      </c>
      <c r="C5" s="34" t="s">
        <v>55</v>
      </c>
      <c r="D5" s="34" t="s">
        <v>6</v>
      </c>
      <c r="H5" s="34" t="b">
        <v>1</v>
      </c>
    </row>
    <row r="6" spans="2:8" ht="15" hidden="1" customHeight="1">
      <c r="B6" s="34" t="s">
        <v>470</v>
      </c>
      <c r="C6" s="34" t="s">
        <v>6</v>
      </c>
      <c r="D6" s="34" t="s">
        <v>55</v>
      </c>
    </row>
    <row r="7" spans="2:8" ht="15" hidden="1" customHeight="1">
      <c r="B7" s="34" t="s">
        <v>473</v>
      </c>
      <c r="C7" s="34" t="s">
        <v>56</v>
      </c>
      <c r="D7" s="34" t="s">
        <v>56</v>
      </c>
    </row>
    <row r="8" spans="2:8" ht="15" hidden="1" customHeight="1">
      <c r="B8" s="34" t="s">
        <v>65</v>
      </c>
      <c r="C8" s="34" t="s">
        <v>62</v>
      </c>
      <c r="D8" s="34"/>
    </row>
    <row r="9" spans="2:8" ht="15" hidden="1" customHeight="1">
      <c r="B9" s="34" t="s">
        <v>55</v>
      </c>
      <c r="C9" s="34" t="s">
        <v>70</v>
      </c>
      <c r="D9" s="34"/>
    </row>
    <row r="10" spans="2:8" ht="15" hidden="1" customHeight="1">
      <c r="B10" s="34" t="s">
        <v>67</v>
      </c>
      <c r="C10" s="34"/>
      <c r="D10" s="34"/>
    </row>
    <row r="11" spans="2:8" ht="15" hidden="1" customHeight="1">
      <c r="B11" s="34" t="s">
        <v>58</v>
      </c>
      <c r="C11" s="34"/>
      <c r="D11" s="34"/>
    </row>
    <row r="12" spans="2:8" ht="15" hidden="1" customHeight="1">
      <c r="B12" s="34" t="s">
        <v>4</v>
      </c>
      <c r="C12" s="34"/>
      <c r="D12" s="34"/>
    </row>
    <row r="13" spans="2:8" ht="15" hidden="1" customHeight="1">
      <c r="B13" s="34" t="s">
        <v>472</v>
      </c>
      <c r="C13" s="34"/>
      <c r="D13" s="34"/>
    </row>
    <row r="14" spans="2:8" ht="15" hidden="1" customHeight="1">
      <c r="B14" s="34" t="s">
        <v>478</v>
      </c>
      <c r="C14" s="34"/>
      <c r="D14" s="34"/>
    </row>
    <row r="15" spans="2:8" ht="15" hidden="1" customHeight="1">
      <c r="B15" s="34" t="s">
        <v>66</v>
      </c>
      <c r="C15" s="34"/>
      <c r="D15" s="34"/>
    </row>
    <row r="16" spans="2:8" ht="15" hidden="1" customHeight="1">
      <c r="B16" s="34" t="s">
        <v>69</v>
      </c>
      <c r="C16" s="34"/>
      <c r="D16" s="34"/>
    </row>
    <row r="17" spans="2:4" ht="15" hidden="1" customHeight="1">
      <c r="B17" s="34" t="s">
        <v>477</v>
      </c>
      <c r="C17" s="34"/>
      <c r="D17" s="34"/>
    </row>
    <row r="18" spans="2:4" ht="15" hidden="1" customHeight="1">
      <c r="B18" s="34" t="s">
        <v>61</v>
      </c>
      <c r="C18" s="34"/>
      <c r="D18" s="34"/>
    </row>
    <row r="19" spans="2:4" ht="15" hidden="1" customHeight="1">
      <c r="B19" s="34" t="s">
        <v>475</v>
      </c>
      <c r="C19" s="34"/>
      <c r="D19" s="34"/>
    </row>
    <row r="20" spans="2:4" ht="15" hidden="1" customHeight="1">
      <c r="B20" s="34" t="s">
        <v>476</v>
      </c>
      <c r="C20" s="34"/>
      <c r="D20" s="34"/>
    </row>
    <row r="21" spans="2:4" ht="15" hidden="1" customHeight="1">
      <c r="B21" s="34" t="s">
        <v>60</v>
      </c>
      <c r="C21" s="34"/>
      <c r="D21" s="34"/>
    </row>
    <row r="22" spans="2:4" ht="15" hidden="1" customHeight="1">
      <c r="B22" s="34" t="s">
        <v>479</v>
      </c>
      <c r="C22" s="34"/>
      <c r="D22" s="34"/>
    </row>
    <row r="23" spans="2:4" ht="15" hidden="1" customHeight="1">
      <c r="B23" s="34" t="s">
        <v>59</v>
      </c>
      <c r="C23" s="34"/>
      <c r="D23" s="34"/>
    </row>
    <row r="24" spans="2:4" ht="15" hidden="1" customHeight="1">
      <c r="B24" s="34" t="s">
        <v>471</v>
      </c>
      <c r="C24" s="34"/>
      <c r="D24" s="34"/>
    </row>
    <row r="25" spans="2:4" ht="15" hidden="1" customHeight="1">
      <c r="B25" s="34" t="s">
        <v>63</v>
      </c>
      <c r="C25" s="34"/>
      <c r="D25" s="34"/>
    </row>
    <row r="26" spans="2:4" ht="15" hidden="1" customHeight="1">
      <c r="B26" s="34" t="s">
        <v>62</v>
      </c>
      <c r="C26" s="34"/>
      <c r="D26" s="34"/>
    </row>
    <row r="27" spans="2:4" ht="15" hidden="1" customHeight="1">
      <c r="B27" s="34" t="s">
        <v>536</v>
      </c>
      <c r="C27" s="34"/>
      <c r="D27" s="34"/>
    </row>
    <row r="28" spans="2:4" ht="15" hidden="1" customHeight="1">
      <c r="B28" s="34" t="s">
        <v>505</v>
      </c>
      <c r="C28" s="34"/>
      <c r="D28" s="34"/>
    </row>
    <row r="29" spans="2:4" ht="15" hidden="1" customHeight="1">
      <c r="B29" s="34"/>
      <c r="C29" s="34"/>
      <c r="D29" s="34"/>
    </row>
    <row r="30" spans="2:4" ht="15" hidden="1" customHeight="1">
      <c r="B30" s="34"/>
      <c r="C30" s="34"/>
      <c r="D30" s="34"/>
    </row>
    <row r="31" spans="2:4" ht="15" hidden="1" customHeight="1">
      <c r="B31" s="34"/>
      <c r="C31" s="34"/>
      <c r="D31" s="34"/>
    </row>
    <row r="32" spans="2:4" s="1" customFormat="1" ht="7.5" customHeight="1">
      <c r="B32" s="39"/>
      <c r="C32" s="39"/>
      <c r="D32" s="39"/>
    </row>
    <row r="33" spans="2:10" ht="23.25" customHeight="1">
      <c r="B33" s="40" t="s">
        <v>50</v>
      </c>
      <c r="C33" s="38"/>
      <c r="D33" s="38"/>
      <c r="E33" s="38"/>
      <c r="F33" s="38"/>
      <c r="G33" s="38"/>
      <c r="H33" s="38"/>
      <c r="I33" s="38"/>
      <c r="J33" s="38"/>
    </row>
    <row r="34" spans="2:10" ht="29.25" customHeight="1">
      <c r="B34" s="28"/>
      <c r="C34" s="30" t="s">
        <v>0</v>
      </c>
      <c r="D34" s="42" t="s">
        <v>43</v>
      </c>
      <c r="E34" s="42" t="s">
        <v>49</v>
      </c>
      <c r="F34" s="42" t="s">
        <v>15</v>
      </c>
      <c r="G34" s="42" t="s">
        <v>40</v>
      </c>
      <c r="H34" s="42" t="s">
        <v>18</v>
      </c>
      <c r="I34" s="42" t="s">
        <v>39</v>
      </c>
      <c r="J34" s="42" t="s">
        <v>1</v>
      </c>
    </row>
    <row r="35" spans="2:10" ht="18.75" hidden="1" customHeight="1">
      <c r="B35" s="28"/>
      <c r="C35" s="29"/>
      <c r="D35" s="27"/>
      <c r="E35" s="27"/>
      <c r="F35" s="27"/>
      <c r="G35" s="27"/>
      <c r="H35" s="27"/>
      <c r="I35" s="31">
        <v>0</v>
      </c>
      <c r="J35" s="32"/>
    </row>
    <row r="36" spans="2:10" ht="18.75" hidden="1" customHeight="1">
      <c r="B36" s="28"/>
      <c r="C36" s="41"/>
      <c r="D36" s="27"/>
      <c r="E36" s="27"/>
      <c r="F36" s="27"/>
      <c r="G36" s="27"/>
      <c r="H36" s="27"/>
      <c r="I36" s="31">
        <v>1</v>
      </c>
      <c r="J36" s="32"/>
    </row>
    <row r="37" spans="2:10" ht="34.5" customHeight="1">
      <c r="B37" s="33"/>
      <c r="C37" s="81">
        <v>2057452</v>
      </c>
      <c r="D37" s="57"/>
      <c r="E37" s="119"/>
      <c r="F37" s="111"/>
      <c r="G37" s="111"/>
      <c r="H37" s="111"/>
      <c r="I37" s="112"/>
      <c r="J37" s="476"/>
    </row>
    <row r="38" spans="2:10" ht="34.5" customHeight="1">
      <c r="B38" s="33"/>
      <c r="C38" s="4"/>
      <c r="D38" s="57"/>
      <c r="E38" s="119"/>
      <c r="F38" s="111"/>
      <c r="G38" s="111"/>
      <c r="H38" s="111"/>
      <c r="I38" s="112"/>
      <c r="J38" s="476"/>
    </row>
    <row r="39" spans="2:10" ht="34.5" customHeight="1">
      <c r="B39" s="33"/>
      <c r="C39" s="4"/>
      <c r="D39" s="58"/>
      <c r="E39" s="113"/>
      <c r="F39" s="114"/>
      <c r="G39" s="114"/>
      <c r="H39" s="114"/>
      <c r="I39" s="115"/>
      <c r="J39" s="477"/>
    </row>
    <row r="40" spans="2:10">
      <c r="B40" s="35"/>
      <c r="C40" s="35"/>
      <c r="D40" s="35"/>
      <c r="E40" s="35"/>
      <c r="F40" s="35"/>
      <c r="G40" s="35"/>
      <c r="H40" s="35"/>
      <c r="I40" s="35"/>
      <c r="J40" s="35"/>
    </row>
    <row r="41" spans="2:10">
      <c r="B41" s="35"/>
      <c r="C41" s="35"/>
      <c r="D41" s="35"/>
      <c r="E41" s="35"/>
      <c r="F41" s="35"/>
      <c r="G41" s="35"/>
      <c r="H41" s="35"/>
      <c r="I41" s="35"/>
      <c r="J41" s="35"/>
    </row>
    <row r="42" spans="2:10" ht="4.5" customHeight="1">
      <c r="B42" s="1"/>
      <c r="C42" s="1"/>
      <c r="D42" s="1"/>
      <c r="E42" s="1"/>
      <c r="F42" s="1"/>
      <c r="G42" s="1"/>
      <c r="H42" s="1"/>
      <c r="I42" s="1"/>
    </row>
    <row r="43" spans="2:10" ht="23.25" customHeight="1">
      <c r="B43" s="40" t="s">
        <v>51</v>
      </c>
      <c r="C43" s="38"/>
      <c r="D43" s="38"/>
      <c r="E43" s="38"/>
      <c r="F43" s="38"/>
      <c r="G43" s="38"/>
      <c r="H43" s="38"/>
      <c r="I43" s="1"/>
    </row>
    <row r="44" spans="2:10" ht="19.5" customHeight="1">
      <c r="B44" s="43" t="s">
        <v>73</v>
      </c>
      <c r="C44" s="502"/>
      <c r="D44" s="503"/>
      <c r="E44" s="504"/>
      <c r="F44" s="504"/>
      <c r="G44" s="504"/>
      <c r="H44" s="504"/>
      <c r="I44" s="1"/>
    </row>
    <row r="45" spans="2:10" ht="27.75" customHeight="1">
      <c r="B45" s="43" t="s">
        <v>74</v>
      </c>
      <c r="C45" s="505"/>
      <c r="D45" s="506"/>
      <c r="E45" s="507"/>
      <c r="F45" s="507"/>
      <c r="G45" s="505"/>
      <c r="H45" s="506"/>
      <c r="I45" s="1"/>
    </row>
    <row r="46" spans="2:10" ht="19.5" customHeight="1">
      <c r="B46" s="43" t="s">
        <v>75</v>
      </c>
      <c r="C46" s="489"/>
      <c r="D46" s="490"/>
      <c r="E46" s="491"/>
      <c r="F46" s="491"/>
      <c r="G46" s="491"/>
      <c r="H46" s="491"/>
      <c r="I46" s="1"/>
    </row>
    <row r="47" spans="2:10" ht="19.5" customHeight="1">
      <c r="B47" s="36" t="s">
        <v>76</v>
      </c>
      <c r="C47" s="486"/>
      <c r="D47" s="486"/>
      <c r="E47" s="44"/>
      <c r="F47" s="45"/>
      <c r="G47" s="46"/>
      <c r="H47" s="46"/>
      <c r="I47" s="1"/>
    </row>
    <row r="48" spans="2:10" ht="19.5" customHeight="1">
      <c r="B48" s="36" t="s">
        <v>77</v>
      </c>
      <c r="C48" s="486"/>
      <c r="D48" s="486"/>
      <c r="E48" s="44"/>
      <c r="F48" s="45"/>
      <c r="G48" s="46"/>
      <c r="H48" s="46"/>
      <c r="I48" s="1"/>
    </row>
    <row r="49" spans="2:10" ht="19.5" customHeight="1">
      <c r="B49" s="36" t="s">
        <v>78</v>
      </c>
      <c r="C49" s="486"/>
      <c r="D49" s="486"/>
      <c r="E49" s="47"/>
      <c r="F49" s="45"/>
      <c r="G49" s="46"/>
      <c r="H49" s="46"/>
      <c r="I49" s="1"/>
    </row>
    <row r="50" spans="2:10" ht="19.5" customHeight="1">
      <c r="B50" s="36" t="s">
        <v>45</v>
      </c>
      <c r="C50" s="495"/>
      <c r="D50" s="486"/>
      <c r="E50" s="45"/>
      <c r="F50" s="45"/>
      <c r="G50" s="46"/>
      <c r="H50" s="46"/>
      <c r="I50" s="1"/>
    </row>
    <row r="51" spans="2:10" ht="19.5" customHeight="1">
      <c r="B51" s="36" t="s">
        <v>44</v>
      </c>
      <c r="C51" s="492"/>
      <c r="D51" s="493"/>
      <c r="E51" s="493"/>
      <c r="F51" s="494"/>
      <c r="G51" s="46"/>
      <c r="H51" s="46"/>
      <c r="I51" s="1"/>
    </row>
    <row r="52" spans="2:10" ht="19.5" customHeight="1">
      <c r="B52" s="36" t="s">
        <v>79</v>
      </c>
      <c r="C52" s="492"/>
      <c r="D52" s="494"/>
      <c r="E52" s="46"/>
      <c r="F52" s="46"/>
      <c r="G52" s="46"/>
      <c r="H52" s="46"/>
      <c r="I52" s="1"/>
    </row>
    <row r="53" spans="2:10" ht="19.5" customHeight="1">
      <c r="B53" s="37" t="s">
        <v>80</v>
      </c>
      <c r="C53" s="500"/>
      <c r="D53" s="501"/>
      <c r="E53" s="48"/>
      <c r="F53" s="46"/>
      <c r="G53" s="46"/>
      <c r="H53" s="46"/>
      <c r="I53" s="1"/>
    </row>
    <row r="54" spans="2:10" ht="19.5" customHeight="1">
      <c r="B54" s="36" t="s">
        <v>8</v>
      </c>
      <c r="C54" s="500"/>
      <c r="D54" s="501"/>
      <c r="E54" s="45"/>
      <c r="F54" s="45"/>
      <c r="G54" s="45"/>
      <c r="H54" s="45"/>
      <c r="I54" s="1"/>
    </row>
    <row r="55" spans="2:10" ht="19.5" customHeight="1">
      <c r="B55" s="36" t="s">
        <v>1</v>
      </c>
      <c r="C55" s="486"/>
      <c r="D55" s="486"/>
      <c r="E55" s="45"/>
      <c r="F55" s="45"/>
      <c r="G55" s="45"/>
      <c r="H55" s="45"/>
      <c r="I55" s="1"/>
      <c r="J55" s="1" t="s">
        <v>602</v>
      </c>
    </row>
    <row r="56" spans="2:10" ht="19.5" customHeight="1">
      <c r="B56" s="36" t="s">
        <v>9</v>
      </c>
      <c r="C56" s="487"/>
      <c r="D56" s="488"/>
      <c r="E56" s="45"/>
      <c r="F56" s="45"/>
      <c r="G56" s="45"/>
      <c r="H56" s="45"/>
      <c r="I56" s="1"/>
    </row>
    <row r="57" spans="2:10" ht="19.5" customHeight="1">
      <c r="B57" s="36" t="s">
        <v>7</v>
      </c>
      <c r="C57" s="483"/>
      <c r="D57" s="484"/>
      <c r="E57" s="484"/>
      <c r="F57" s="484"/>
      <c r="G57" s="484"/>
      <c r="H57" s="485"/>
      <c r="I57" s="1"/>
    </row>
    <row r="58" spans="2:10">
      <c r="B58" s="35"/>
      <c r="C58" s="35"/>
      <c r="D58" s="35"/>
      <c r="E58" s="35"/>
      <c r="F58" s="35"/>
      <c r="G58" s="35"/>
      <c r="H58" s="35"/>
      <c r="I58" s="1"/>
    </row>
    <row r="59" spans="2:10">
      <c r="B59" s="35"/>
      <c r="C59" s="35"/>
      <c r="D59" s="35"/>
      <c r="E59" s="35"/>
      <c r="F59" s="35"/>
      <c r="G59" s="35"/>
      <c r="H59" s="35"/>
      <c r="I59" s="1"/>
    </row>
    <row r="60" spans="2:10" s="1" customFormat="1"/>
    <row r="61" spans="2:10" s="1" customFormat="1"/>
    <row r="62" spans="2:10" s="1" customFormat="1"/>
    <row r="63" spans="2:10" s="1" customFormat="1"/>
    <row r="64" spans="2:10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pans="3:3" s="1" customFormat="1"/>
    <row r="130" spans="3:3" s="1" customFormat="1"/>
    <row r="131" spans="3:3" s="1" customFormat="1"/>
    <row r="132" spans="3:3" s="1" customFormat="1"/>
    <row r="133" spans="3:3" s="1" customFormat="1"/>
    <row r="134" spans="3:3" s="1" customFormat="1"/>
    <row r="135" spans="3:3" s="1" customFormat="1">
      <c r="C135"/>
    </row>
  </sheetData>
  <dataConsolidate/>
  <mergeCells count="22">
    <mergeCell ref="B1:E1"/>
    <mergeCell ref="H1:H2"/>
    <mergeCell ref="C52:D52"/>
    <mergeCell ref="C53:D53"/>
    <mergeCell ref="C54:D54"/>
    <mergeCell ref="C44:D44"/>
    <mergeCell ref="E44:F44"/>
    <mergeCell ref="G44:H44"/>
    <mergeCell ref="C45:D45"/>
    <mergeCell ref="E45:F45"/>
    <mergeCell ref="G45:H45"/>
    <mergeCell ref="C57:H57"/>
    <mergeCell ref="C55:D55"/>
    <mergeCell ref="C56:D56"/>
    <mergeCell ref="C46:D46"/>
    <mergeCell ref="E46:F46"/>
    <mergeCell ref="G46:H46"/>
    <mergeCell ref="C47:D47"/>
    <mergeCell ref="C51:F51"/>
    <mergeCell ref="C48:D48"/>
    <mergeCell ref="C49:D49"/>
    <mergeCell ref="C50:D50"/>
  </mergeCells>
  <conditionalFormatting sqref="H35:H36">
    <cfRule type="dataBar" priority="2">
      <dataBar>
        <cfvo type="min" val="0"/>
        <cfvo type="max" val="0"/>
        <color rgb="FFFFC000"/>
      </dataBar>
    </cfRule>
  </conditionalFormatting>
  <conditionalFormatting sqref="I35:I39">
    <cfRule type="dataBar" priority="1">
      <dataBar>
        <cfvo type="min" val="0"/>
        <cfvo type="max" val="0"/>
        <color rgb="FFFFC000"/>
      </dataBar>
    </cfRule>
  </conditionalFormatting>
  <dataValidations xWindow="167" yWindow="220" count="6">
    <dataValidation type="list" allowBlank="1" showInputMessage="1" showErrorMessage="1" sqref="C52:D52">
      <formula1>IF(C47="100pax",$B$3:$B$28,IF(C47="500pax",$C$3:$C$10,IF(C47="1000pax",$D$3:$D$7,$E$3:$E$4)))</formula1>
    </dataValidation>
    <dataValidation type="textLength" allowBlank="1" showInputMessage="1" showErrorMessage="1" errorTitle="ADA iinvalid" error="The entered ADA is invalid!" promptTitle="Enter ADA" prompt="Please enter correct ADA number!" sqref="C35:C36">
      <formula1>7</formula1>
      <formula2>7</formula2>
    </dataValidation>
    <dataValidation type="list" allowBlank="1" showInputMessage="1" showErrorMessage="1" sqref="C48">
      <formula1>"1,2,3,4,5,6,7,8,9,10,11,12,13,14,15,16,17,18,19,20,21,22,23,24,25,26,27,28,29,30,31"</formula1>
    </dataValidation>
    <dataValidation type="list" allowBlank="1" showInputMessage="1" showErrorMessage="1" sqref="C55:D55">
      <formula1>"NEW,DONE"</formula1>
    </dataValidation>
    <dataValidation type="list" allowBlank="1" showInputMessage="1" showErrorMessage="1" sqref="C49:D49">
      <formula1>"SEP,OCT,NOV,DEC,JAN,FEB"</formula1>
    </dataValidation>
    <dataValidation type="list" allowBlank="1" showInputMessage="1" showErrorMessage="1" sqref="C47:D47">
      <formula1>"100pax,500pax,1000pax,1500-2000pax"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Q63"/>
  <sheetViews>
    <sheetView zoomScale="80" zoomScaleNormal="80" workbookViewId="0">
      <selection activeCell="H15" sqref="H15"/>
    </sheetView>
  </sheetViews>
  <sheetFormatPr defaultRowHeight="15"/>
  <cols>
    <col min="1" max="1" width="18.28515625" customWidth="1"/>
    <col min="2" max="2" width="14.7109375" customWidth="1"/>
    <col min="3" max="4" width="17.5703125" customWidth="1"/>
    <col min="5" max="5" width="18.7109375" customWidth="1"/>
    <col min="6" max="6" width="12.28515625" customWidth="1"/>
    <col min="7" max="7" width="12.5703125" customWidth="1"/>
    <col min="8" max="8" width="12.42578125" customWidth="1"/>
  </cols>
  <sheetData>
    <row r="1" spans="1:17" s="1" customFormat="1" ht="32.25" customHeight="1">
      <c r="A1" s="76" t="s">
        <v>315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50"/>
      <c r="N1" s="23"/>
      <c r="O1" s="50"/>
      <c r="P1" s="23"/>
      <c r="Q1" s="23"/>
    </row>
    <row r="2" spans="1:17" ht="19.5" customHeight="1">
      <c r="A2" s="36" t="s">
        <v>321</v>
      </c>
      <c r="B2" s="75" t="s">
        <v>624</v>
      </c>
      <c r="E2" s="36" t="s">
        <v>317</v>
      </c>
      <c r="F2" s="62">
        <v>21800</v>
      </c>
    </row>
    <row r="3" spans="1:17" ht="6" customHeight="1"/>
    <row r="4" spans="1:17" ht="21.75" customHeight="1">
      <c r="A4" s="73" t="s">
        <v>320</v>
      </c>
      <c r="B4" s="72"/>
      <c r="C4" s="72"/>
      <c r="D4" s="72"/>
      <c r="E4" s="72"/>
      <c r="F4" s="72"/>
    </row>
    <row r="5" spans="1:17" ht="19.5" customHeight="1">
      <c r="A5" s="30" t="s">
        <v>41</v>
      </c>
      <c r="B5" s="63" t="s">
        <v>316</v>
      </c>
      <c r="C5" s="63" t="s">
        <v>46</v>
      </c>
      <c r="D5" s="63" t="s">
        <v>313</v>
      </c>
      <c r="E5" s="63" t="s">
        <v>314</v>
      </c>
      <c r="F5" s="63" t="s">
        <v>318</v>
      </c>
    </row>
    <row r="6" spans="1:17">
      <c r="A6" s="60" t="s">
        <v>5</v>
      </c>
      <c r="B6" s="61">
        <v>117</v>
      </c>
      <c r="C6" s="61">
        <v>173180000</v>
      </c>
      <c r="D6" s="61">
        <v>29560000</v>
      </c>
      <c r="E6" s="61">
        <v>137124000</v>
      </c>
      <c r="F6" s="61">
        <f>MeetingSubsidizationReportTable[[#This Row],[Supported by AW]]/$F$2</f>
        <v>6290.0917431192656</v>
      </c>
    </row>
    <row r="7" spans="1:17">
      <c r="A7" s="60" t="s">
        <v>11</v>
      </c>
      <c r="B7" s="61">
        <v>16</v>
      </c>
      <c r="C7" s="61">
        <v>116470000</v>
      </c>
      <c r="D7" s="61">
        <v>17298000</v>
      </c>
      <c r="E7" s="61">
        <v>93176000</v>
      </c>
      <c r="F7" s="61">
        <f>MeetingSubsidizationReportTable[[#This Row],[Supported by AW]]/$F$2</f>
        <v>4274.1284403669724</v>
      </c>
    </row>
    <row r="8" spans="1:17">
      <c r="A8" s="60" t="s">
        <v>13</v>
      </c>
      <c r="B8" s="61">
        <v>2</v>
      </c>
      <c r="C8" s="61">
        <v>21340000</v>
      </c>
      <c r="D8" s="61">
        <v>4268000</v>
      </c>
      <c r="E8" s="61">
        <v>17072000</v>
      </c>
      <c r="F8" s="61">
        <f>MeetingSubsidizationReportTable[[#This Row],[Supported by AW]]/$F$2</f>
        <v>783.11926605504584</v>
      </c>
    </row>
    <row r="9" spans="1:17">
      <c r="A9" s="60" t="s">
        <v>487</v>
      </c>
      <c r="B9" s="61">
        <v>2</v>
      </c>
      <c r="C9" s="61">
        <v>84750000</v>
      </c>
      <c r="D9" s="61">
        <v>0</v>
      </c>
      <c r="E9" s="61">
        <v>84750000</v>
      </c>
      <c r="F9" s="61">
        <f>MeetingSubsidizationReportTable[[#This Row],[Supported by AW]]/$F$2</f>
        <v>3887.6146788990827</v>
      </c>
    </row>
    <row r="10" spans="1:17" ht="15.75">
      <c r="A10" s="110" t="s">
        <v>319</v>
      </c>
      <c r="B10" s="69">
        <f>SUBTOTAL(109,[No. Session])</f>
        <v>137</v>
      </c>
      <c r="C10" s="74"/>
      <c r="D10" s="74"/>
      <c r="E10" s="70">
        <f>SUBTOTAL(109,[Supported by AW])</f>
        <v>332122000</v>
      </c>
      <c r="F10" s="71">
        <f>SUBTOTAL(109,[USD])</f>
        <v>15234.954128440368</v>
      </c>
    </row>
    <row r="11" spans="1:17" s="59" customFormat="1" ht="6.75" customHeight="1">
      <c r="A11"/>
      <c r="B11"/>
      <c r="C11"/>
      <c r="D11"/>
      <c r="E11"/>
      <c r="F11"/>
    </row>
    <row r="12" spans="1:17" s="59" customFormat="1" ht="270" customHeight="1">
      <c r="A12"/>
      <c r="B12"/>
      <c r="C12"/>
      <c r="D12"/>
      <c r="E12"/>
      <c r="F12"/>
    </row>
    <row r="13" spans="1:17" ht="21.75" customHeight="1">
      <c r="A13" s="73" t="s">
        <v>322</v>
      </c>
      <c r="B13" s="72"/>
      <c r="C13" s="72"/>
      <c r="D13" s="72"/>
      <c r="E13" s="72"/>
      <c r="F13" s="72"/>
    </row>
    <row r="14" spans="1:17" ht="18.75">
      <c r="A14" s="67" t="s">
        <v>5</v>
      </c>
      <c r="B14" s="63" t="s">
        <v>316</v>
      </c>
      <c r="C14" s="63" t="s">
        <v>46</v>
      </c>
      <c r="D14" s="63" t="s">
        <v>313</v>
      </c>
      <c r="E14" s="65" t="s">
        <v>314</v>
      </c>
      <c r="F14" s="63" t="s">
        <v>318</v>
      </c>
    </row>
    <row r="15" spans="1:17">
      <c r="A15" s="64" t="s">
        <v>470</v>
      </c>
      <c r="B15" s="61">
        <v>3</v>
      </c>
      <c r="C15" s="61">
        <v>4200000</v>
      </c>
      <c r="D15" s="61">
        <v>840000</v>
      </c>
      <c r="E15" s="61">
        <v>3360000</v>
      </c>
      <c r="F15" s="61">
        <f>MeetingSubsidizationReport100paxTable[[#This Row],[Supported by AW]]/$F$2</f>
        <v>154.12844036697248</v>
      </c>
    </row>
    <row r="16" spans="1:17">
      <c r="A16" s="64" t="s">
        <v>58</v>
      </c>
      <c r="B16" s="61">
        <v>0</v>
      </c>
      <c r="C16" s="61">
        <v>0</v>
      </c>
      <c r="D16" s="61">
        <v>0</v>
      </c>
      <c r="E16" s="61">
        <v>0</v>
      </c>
      <c r="F16" s="61">
        <f>MeetingSubsidizationReport100paxTable[[#This Row],[Supported by AW]]/$F$2</f>
        <v>0</v>
      </c>
    </row>
    <row r="17" spans="1:6">
      <c r="A17" s="64" t="s">
        <v>312</v>
      </c>
      <c r="B17" s="61">
        <v>0</v>
      </c>
      <c r="C17" s="61">
        <v>0</v>
      </c>
      <c r="D17" s="61">
        <v>0</v>
      </c>
      <c r="E17" s="61">
        <v>0</v>
      </c>
      <c r="F17" s="61">
        <f>MeetingSubsidizationReport100paxTable[[#This Row],[Supported by AW]]/$F$2</f>
        <v>0</v>
      </c>
    </row>
    <row r="18" spans="1:6">
      <c r="A18" s="64" t="s">
        <v>61</v>
      </c>
      <c r="B18" s="61">
        <v>1</v>
      </c>
      <c r="C18" s="61">
        <v>1700000</v>
      </c>
      <c r="D18" s="61">
        <v>340000</v>
      </c>
      <c r="E18" s="61">
        <v>1360000</v>
      </c>
      <c r="F18" s="61">
        <f>MeetingSubsidizationReport100paxTable[[#This Row],[Supported by AW]]/$F$2</f>
        <v>62.38532110091743</v>
      </c>
    </row>
    <row r="19" spans="1:6">
      <c r="A19" s="64" t="s">
        <v>471</v>
      </c>
      <c r="B19" s="61">
        <v>0</v>
      </c>
      <c r="C19" s="61">
        <v>0</v>
      </c>
      <c r="D19" s="61">
        <v>0</v>
      </c>
      <c r="E19" s="61">
        <v>0</v>
      </c>
      <c r="F19" s="61">
        <f>MeetingSubsidizationReport100paxTable[[#This Row],[Supported by AW]]/$F$2</f>
        <v>0</v>
      </c>
    </row>
    <row r="20" spans="1:6">
      <c r="A20" s="64" t="s">
        <v>66</v>
      </c>
      <c r="B20" s="61">
        <v>0</v>
      </c>
      <c r="C20" s="61">
        <v>0</v>
      </c>
      <c r="D20" s="61">
        <v>0</v>
      </c>
      <c r="E20" s="61">
        <v>0</v>
      </c>
      <c r="F20" s="61">
        <f>MeetingSubsidizationReport100paxTable[[#This Row],[Supported by AW]]/$F$2</f>
        <v>0</v>
      </c>
    </row>
    <row r="21" spans="1:6">
      <c r="A21" s="64" t="s">
        <v>68</v>
      </c>
      <c r="B21" s="61">
        <v>0</v>
      </c>
      <c r="C21" s="61">
        <v>0</v>
      </c>
      <c r="D21" s="61">
        <v>0</v>
      </c>
      <c r="E21" s="61">
        <v>0</v>
      </c>
      <c r="F21" s="61">
        <f>MeetingSubsidizationReport100paxTable[[#This Row],[Supported by AW]]/$F$2</f>
        <v>0</v>
      </c>
    </row>
    <row r="22" spans="1:6">
      <c r="A22" s="64" t="s">
        <v>473</v>
      </c>
      <c r="B22" s="61">
        <v>0</v>
      </c>
      <c r="C22" s="105">
        <v>0</v>
      </c>
      <c r="D22" s="105">
        <v>0</v>
      </c>
      <c r="E22" s="61">
        <v>0</v>
      </c>
      <c r="F22" s="61">
        <f>MeetingSubsidizationReport100paxTable[[#This Row],[Supported by AW]]/$F$2</f>
        <v>0</v>
      </c>
    </row>
    <row r="23" spans="1:6">
      <c r="A23" s="64" t="s">
        <v>477</v>
      </c>
      <c r="B23" s="61">
        <v>0</v>
      </c>
      <c r="C23" s="105">
        <v>0</v>
      </c>
      <c r="D23" s="105">
        <v>0</v>
      </c>
      <c r="E23" s="61">
        <v>0</v>
      </c>
      <c r="F23" s="61">
        <f>MeetingSubsidizationReport100paxTable[[#This Row],[Supported by AW]]/$F$2</f>
        <v>0</v>
      </c>
    </row>
    <row r="24" spans="1:6">
      <c r="A24" s="64" t="s">
        <v>478</v>
      </c>
      <c r="B24" s="61">
        <v>0</v>
      </c>
      <c r="C24" s="105">
        <v>0</v>
      </c>
      <c r="D24" s="105">
        <v>0</v>
      </c>
      <c r="E24" s="61">
        <v>0</v>
      </c>
      <c r="F24" s="61">
        <f>MeetingSubsidizationReport100paxTable[[#This Row],[Supported by AW]]/$F$2</f>
        <v>0</v>
      </c>
    </row>
    <row r="25" spans="1:6">
      <c r="A25" s="64" t="s">
        <v>479</v>
      </c>
      <c r="B25" s="61">
        <v>1</v>
      </c>
      <c r="C25" s="105">
        <v>1400000</v>
      </c>
      <c r="D25" s="105">
        <v>280000</v>
      </c>
      <c r="E25" s="61">
        <v>1120000</v>
      </c>
      <c r="F25" s="61">
        <f>MeetingSubsidizationReport100paxTable[[#This Row],[Supported by AW]]/$F$2</f>
        <v>51.376146788990823</v>
      </c>
    </row>
    <row r="26" spans="1:6">
      <c r="A26" s="64" t="s">
        <v>475</v>
      </c>
      <c r="B26" s="61">
        <v>4</v>
      </c>
      <c r="C26" s="105">
        <v>8400000</v>
      </c>
      <c r="D26" s="105">
        <v>1680000</v>
      </c>
      <c r="E26" s="61">
        <v>6720000</v>
      </c>
      <c r="F26" s="61">
        <f>MeetingSubsidizationReport100paxTable[[#This Row],[Supported by AW]]/$F$2</f>
        <v>308.25688073394497</v>
      </c>
    </row>
    <row r="27" spans="1:6">
      <c r="A27" s="64" t="s">
        <v>59</v>
      </c>
      <c r="B27" s="61">
        <v>1</v>
      </c>
      <c r="C27" s="61">
        <v>1700000</v>
      </c>
      <c r="D27" s="61">
        <v>340000</v>
      </c>
      <c r="E27" s="61">
        <v>1360000</v>
      </c>
      <c r="F27" s="61">
        <f>MeetingSubsidizationReport100paxTable[[#This Row],[Supported by AW]]/$F$2</f>
        <v>62.38532110091743</v>
      </c>
    </row>
    <row r="28" spans="1:6">
      <c r="A28" s="64" t="s">
        <v>63</v>
      </c>
      <c r="B28" s="61">
        <v>13</v>
      </c>
      <c r="C28" s="61">
        <v>18000000</v>
      </c>
      <c r="D28" s="61">
        <v>3600000</v>
      </c>
      <c r="E28" s="61">
        <v>14400000</v>
      </c>
      <c r="F28" s="61">
        <f>MeetingSubsidizationReport100paxTable[[#This Row],[Supported by AW]]/$F$2</f>
        <v>660.55045871559628</v>
      </c>
    </row>
    <row r="29" spans="1:6">
      <c r="A29" s="64" t="s">
        <v>69</v>
      </c>
      <c r="B29" s="61">
        <v>0</v>
      </c>
      <c r="C29" s="61">
        <v>0</v>
      </c>
      <c r="D29" s="61">
        <v>0</v>
      </c>
      <c r="E29" s="61">
        <v>0</v>
      </c>
      <c r="F29" s="61">
        <f>MeetingSubsidizationReport100paxTable[[#This Row],[Supported by AW]]/$F$2</f>
        <v>0</v>
      </c>
    </row>
    <row r="30" spans="1:6">
      <c r="A30" s="66" t="s">
        <v>474</v>
      </c>
      <c r="B30" s="61">
        <v>5</v>
      </c>
      <c r="C30" s="105">
        <v>9500000</v>
      </c>
      <c r="D30" s="105">
        <v>1900000</v>
      </c>
      <c r="E30" s="61">
        <v>7600000</v>
      </c>
      <c r="F30" s="61">
        <f>MeetingSubsidizationReport100paxTable[[#This Row],[Supported by AW]]/$F$2</f>
        <v>348.62385321100919</v>
      </c>
    </row>
    <row r="31" spans="1:6">
      <c r="A31" s="66" t="s">
        <v>64</v>
      </c>
      <c r="B31" s="61">
        <v>2</v>
      </c>
      <c r="C31" s="61">
        <v>4400000</v>
      </c>
      <c r="D31" s="61">
        <v>1000000</v>
      </c>
      <c r="E31" s="61">
        <v>3400000</v>
      </c>
      <c r="F31" s="61">
        <f>MeetingSubsidizationReport100paxTable[[#This Row],[Supported by AW]]/$F$2</f>
        <v>155.96330275229357</v>
      </c>
    </row>
    <row r="32" spans="1:6">
      <c r="A32" s="66" t="s">
        <v>4</v>
      </c>
      <c r="B32" s="61">
        <v>0</v>
      </c>
      <c r="C32" s="61">
        <v>0</v>
      </c>
      <c r="D32" s="61">
        <v>0</v>
      </c>
      <c r="E32" s="61">
        <v>0</v>
      </c>
      <c r="F32" s="61">
        <f>MeetingSubsidizationReport100paxTable[[#This Row],[Supported by AW]]/$F$2</f>
        <v>0</v>
      </c>
    </row>
    <row r="33" spans="1:6">
      <c r="A33" s="66" t="s">
        <v>476</v>
      </c>
      <c r="B33" s="61">
        <v>4</v>
      </c>
      <c r="C33" s="105">
        <v>8000000</v>
      </c>
      <c r="D33" s="105">
        <v>1600000</v>
      </c>
      <c r="E33" s="61">
        <v>6400000</v>
      </c>
      <c r="F33" s="61">
        <f>MeetingSubsidizationReport100paxTable[[#This Row],[Supported by AW]]/$F$2</f>
        <v>293.57798165137615</v>
      </c>
    </row>
    <row r="34" spans="1:6">
      <c r="A34" s="66" t="s">
        <v>472</v>
      </c>
      <c r="B34" s="61">
        <v>0</v>
      </c>
      <c r="C34" s="105">
        <v>0</v>
      </c>
      <c r="D34" s="105">
        <v>0</v>
      </c>
      <c r="E34" s="61">
        <v>0</v>
      </c>
      <c r="F34" s="61">
        <f>MeetingSubsidizationReport100paxTable[[#This Row],[Supported by AW]]/$F$2</f>
        <v>0</v>
      </c>
    </row>
    <row r="35" spans="1:6">
      <c r="A35" s="66" t="s">
        <v>60</v>
      </c>
      <c r="B35" s="61">
        <v>4</v>
      </c>
      <c r="C35" s="61">
        <v>6160000</v>
      </c>
      <c r="D35" s="61">
        <v>1232000</v>
      </c>
      <c r="E35" s="61">
        <v>4928000</v>
      </c>
      <c r="F35" s="61">
        <f>MeetingSubsidizationReport100paxTable[[#This Row],[Supported by AW]]/$F$2</f>
        <v>226.05504587155963</v>
      </c>
    </row>
    <row r="36" spans="1:6">
      <c r="A36" s="66" t="s">
        <v>55</v>
      </c>
      <c r="B36" s="61">
        <v>12</v>
      </c>
      <c r="C36" s="61">
        <v>18000000</v>
      </c>
      <c r="D36" s="61">
        <v>3600000</v>
      </c>
      <c r="E36" s="61">
        <v>14400000</v>
      </c>
      <c r="F36" s="61">
        <f>MeetingSubsidizationReport100paxTable[[#This Row],[Supported by AW]]/$F$2</f>
        <v>660.55045871559628</v>
      </c>
    </row>
    <row r="37" spans="1:6">
      <c r="A37" s="66" t="s">
        <v>67</v>
      </c>
      <c r="B37" s="61">
        <v>23</v>
      </c>
      <c r="C37" s="61">
        <v>36300000</v>
      </c>
      <c r="D37" s="61">
        <v>7260000</v>
      </c>
      <c r="E37" s="61">
        <v>29040000</v>
      </c>
      <c r="F37" s="61">
        <f>MeetingSubsidizationReport100paxTable[[#This Row],[Supported by AW]]/$F$2</f>
        <v>1332.1100917431193</v>
      </c>
    </row>
    <row r="38" spans="1:6">
      <c r="A38" s="66" t="s">
        <v>65</v>
      </c>
      <c r="B38" s="61">
        <v>8</v>
      </c>
      <c r="C38" s="61">
        <v>7350000</v>
      </c>
      <c r="D38" s="61">
        <v>1470000</v>
      </c>
      <c r="E38" s="61">
        <v>5880000</v>
      </c>
      <c r="F38" s="61">
        <f>MeetingSubsidizationReport100paxTable[[#This Row],[Supported by AW]]/$F$2</f>
        <v>269.72477064220186</v>
      </c>
    </row>
    <row r="39" spans="1:6" ht="15.75">
      <c r="A39" s="110" t="s">
        <v>319</v>
      </c>
      <c r="B39" s="70">
        <f>SUBTOTAL(109,[No. Session])</f>
        <v>81</v>
      </c>
      <c r="C39" s="117"/>
      <c r="D39" s="117"/>
      <c r="E39" s="70">
        <f>SUBTOTAL(109,[Supported by AW])</f>
        <v>99968000</v>
      </c>
      <c r="F39" s="70">
        <f>SUBTOTAL(109,[USD])</f>
        <v>4585.6880733944963</v>
      </c>
    </row>
    <row r="41" spans="1:6" ht="18.75">
      <c r="A41" s="67" t="s">
        <v>11</v>
      </c>
      <c r="B41" s="63" t="s">
        <v>316</v>
      </c>
      <c r="C41" s="63" t="s">
        <v>46</v>
      </c>
      <c r="D41" s="63" t="s">
        <v>313</v>
      </c>
      <c r="E41" s="65" t="s">
        <v>314</v>
      </c>
      <c r="F41" s="63" t="s">
        <v>318</v>
      </c>
    </row>
    <row r="42" spans="1:6">
      <c r="A42" s="64" t="s">
        <v>10</v>
      </c>
      <c r="B42" s="61">
        <v>7</v>
      </c>
      <c r="C42" s="61">
        <v>93168000</v>
      </c>
      <c r="D42" s="61">
        <v>26008000</v>
      </c>
      <c r="E42" s="61">
        <v>67160000</v>
      </c>
      <c r="F42" s="61">
        <f>MeetingSubsidizationReport500paxTable[[#This Row],[Supported by AW]]/$F$2</f>
        <v>3080.7339449541282</v>
      </c>
    </row>
    <row r="43" spans="1:6">
      <c r="A43" s="64" t="s">
        <v>14</v>
      </c>
      <c r="B43" s="61">
        <v>10</v>
      </c>
      <c r="C43" s="61">
        <v>102088500</v>
      </c>
      <c r="D43" s="61">
        <v>22177700</v>
      </c>
      <c r="E43" s="61">
        <v>79910800</v>
      </c>
      <c r="F43" s="61">
        <f>MeetingSubsidizationReport500paxTable[[#This Row],[Supported by AW]]/$F$2</f>
        <v>3665.6330275229357</v>
      </c>
    </row>
    <row r="44" spans="1:6">
      <c r="A44" s="64" t="s">
        <v>55</v>
      </c>
      <c r="B44" s="61">
        <v>2</v>
      </c>
      <c r="C44" s="61">
        <v>8400000</v>
      </c>
      <c r="D44" s="61">
        <v>1680000</v>
      </c>
      <c r="E44" s="61">
        <v>6720000</v>
      </c>
      <c r="F44" s="61">
        <f>MeetingSubsidizationReport500paxTable[[#This Row],[Supported by AW]]/$F$2</f>
        <v>308.25688073394497</v>
      </c>
    </row>
    <row r="45" spans="1:6">
      <c r="A45" s="64" t="s">
        <v>6</v>
      </c>
      <c r="B45" s="61">
        <v>1</v>
      </c>
      <c r="C45" s="61">
        <v>11000000</v>
      </c>
      <c r="D45" s="61">
        <v>2200000</v>
      </c>
      <c r="E45" s="61">
        <v>8800000</v>
      </c>
      <c r="F45" s="61">
        <f>MeetingSubsidizationReport500paxTable[[#This Row],[Supported by AW]]/$F$2</f>
        <v>403.66972477064218</v>
      </c>
    </row>
    <row r="46" spans="1:6">
      <c r="A46" s="64" t="s">
        <v>56</v>
      </c>
      <c r="B46" s="61">
        <v>1</v>
      </c>
      <c r="C46" s="61">
        <v>6900000</v>
      </c>
      <c r="D46" s="61">
        <v>1380000</v>
      </c>
      <c r="E46" s="61">
        <v>5520000</v>
      </c>
      <c r="F46" s="61">
        <f>MeetingSubsidizationReport500paxTable[[#This Row],[Supported by AW]]/$F$2</f>
        <v>253.21100917431193</v>
      </c>
    </row>
    <row r="47" spans="1:6">
      <c r="A47" s="64" t="s">
        <v>62</v>
      </c>
      <c r="B47" s="61">
        <v>0</v>
      </c>
      <c r="C47" s="61">
        <v>0</v>
      </c>
      <c r="D47" s="61">
        <v>0</v>
      </c>
      <c r="E47" s="61">
        <v>0</v>
      </c>
      <c r="F47" s="61">
        <f>MeetingSubsidizationReport500paxTable[[#This Row],[Supported by AW]]/$F$2</f>
        <v>0</v>
      </c>
    </row>
    <row r="48" spans="1:6">
      <c r="A48" s="64" t="s">
        <v>70</v>
      </c>
      <c r="B48" s="61">
        <v>0</v>
      </c>
      <c r="C48" s="61">
        <v>0</v>
      </c>
      <c r="D48" s="61">
        <v>0</v>
      </c>
      <c r="E48" s="61">
        <v>0</v>
      </c>
      <c r="F48" s="61">
        <f>MeetingSubsidizationReport500paxTable[[#This Row],[Supported by AW]]/$F$2</f>
        <v>0</v>
      </c>
    </row>
    <row r="49" spans="1:6">
      <c r="A49" s="64" t="s">
        <v>65</v>
      </c>
      <c r="B49" s="61">
        <v>0</v>
      </c>
      <c r="C49" s="61">
        <v>0</v>
      </c>
      <c r="D49" s="61">
        <v>0</v>
      </c>
      <c r="E49" s="61">
        <v>0</v>
      </c>
      <c r="F49" s="61">
        <f>MeetingSubsidizationReport500paxTable[[#This Row],[Supported by AW]]/$F$2</f>
        <v>0</v>
      </c>
    </row>
    <row r="50" spans="1:6" ht="15.75">
      <c r="A50" s="110" t="s">
        <v>319</v>
      </c>
      <c r="B50" s="70">
        <f>SUBTOTAL(109,[No. Session])</f>
        <v>21</v>
      </c>
      <c r="C50" s="100"/>
      <c r="D50" s="100"/>
      <c r="E50" s="70">
        <f>SUBTOTAL(109,[Supported by AW])</f>
        <v>168110800</v>
      </c>
      <c r="F50" s="70">
        <f>SUBTOTAL(109,[USD])</f>
        <v>7711.5045871559632</v>
      </c>
    </row>
    <row r="52" spans="1:6" ht="18.75">
      <c r="A52" s="68" t="s">
        <v>13</v>
      </c>
      <c r="B52" s="63" t="s">
        <v>316</v>
      </c>
      <c r="C52" s="63" t="s">
        <v>46</v>
      </c>
      <c r="D52" s="63" t="s">
        <v>313</v>
      </c>
      <c r="E52" s="65" t="s">
        <v>314</v>
      </c>
      <c r="F52" s="63" t="s">
        <v>318</v>
      </c>
    </row>
    <row r="53" spans="1:6">
      <c r="A53" s="64" t="s">
        <v>10</v>
      </c>
      <c r="B53" s="61">
        <v>3</v>
      </c>
      <c r="C53" s="61">
        <v>67650000</v>
      </c>
      <c r="D53" s="61">
        <v>13530000</v>
      </c>
      <c r="E53" s="61">
        <v>54120000</v>
      </c>
      <c r="F53" s="61">
        <f>MeetingSubsidizationReport1000paxTable[[#This Row],[Supported by AW]]/$F$2</f>
        <v>2482.5688073394494</v>
      </c>
    </row>
    <row r="54" spans="1:6">
      <c r="A54" s="64" t="s">
        <v>14</v>
      </c>
      <c r="B54" s="61">
        <v>0</v>
      </c>
      <c r="C54" s="61">
        <v>0</v>
      </c>
      <c r="D54" s="61">
        <v>0</v>
      </c>
      <c r="E54" s="61">
        <v>0</v>
      </c>
      <c r="F54" s="61">
        <f>MeetingSubsidizationReport1000paxTable[[#This Row],[Supported by AW]]/$F$2</f>
        <v>0</v>
      </c>
    </row>
    <row r="55" spans="1:6">
      <c r="A55" s="64" t="s">
        <v>6</v>
      </c>
      <c r="B55" s="61">
        <v>0</v>
      </c>
      <c r="C55" s="61">
        <v>0</v>
      </c>
      <c r="D55" s="61">
        <v>0</v>
      </c>
      <c r="E55" s="61">
        <v>0</v>
      </c>
      <c r="F55" s="61">
        <f>MeetingSubsidizationReport1000paxTable[[#This Row],[Supported by AW]]/$F$2</f>
        <v>0</v>
      </c>
    </row>
    <row r="56" spans="1:6">
      <c r="A56" s="64" t="s">
        <v>55</v>
      </c>
      <c r="B56" s="61">
        <v>0</v>
      </c>
      <c r="C56" s="61">
        <v>0</v>
      </c>
      <c r="D56" s="61">
        <v>0</v>
      </c>
      <c r="E56" s="61">
        <v>0</v>
      </c>
      <c r="F56" s="61">
        <f>MeetingSubsidizationReport1000paxTable[[#This Row],[Supported by AW]]/$F$2</f>
        <v>0</v>
      </c>
    </row>
    <row r="57" spans="1:6">
      <c r="A57" s="66" t="s">
        <v>56</v>
      </c>
      <c r="B57" s="61">
        <v>0</v>
      </c>
      <c r="C57" s="61">
        <v>0</v>
      </c>
      <c r="D57" s="61">
        <v>0</v>
      </c>
      <c r="E57" s="61">
        <v>0</v>
      </c>
      <c r="F57" s="61">
        <f>MeetingSubsidizationReport1000paxTable[[#This Row],[Supported by AW]]/$F$2</f>
        <v>0</v>
      </c>
    </row>
    <row r="58" spans="1:6" ht="15.75">
      <c r="A58" s="110" t="s">
        <v>319</v>
      </c>
      <c r="B58" s="71">
        <f>SUBTOTAL(109,[No. Session])</f>
        <v>3</v>
      </c>
      <c r="C58" s="74"/>
      <c r="D58" s="74"/>
      <c r="E58" s="71">
        <f>SUBTOTAL(109,[Supported by AW])</f>
        <v>54120000</v>
      </c>
      <c r="F58" s="70">
        <f>SUBTOTAL(109,[USD])</f>
        <v>2482.5688073394494</v>
      </c>
    </row>
    <row r="60" spans="1:6" ht="15.75">
      <c r="A60" s="106" t="s">
        <v>487</v>
      </c>
      <c r="B60" s="63" t="s">
        <v>316</v>
      </c>
      <c r="C60" s="63" t="s">
        <v>46</v>
      </c>
      <c r="D60" s="63" t="s">
        <v>313</v>
      </c>
      <c r="E60" s="65" t="s">
        <v>314</v>
      </c>
      <c r="F60" s="63" t="s">
        <v>318</v>
      </c>
    </row>
    <row r="61" spans="1:6">
      <c r="A61" s="64" t="s">
        <v>10</v>
      </c>
      <c r="B61" s="61">
        <v>0</v>
      </c>
      <c r="C61" s="61">
        <v>0</v>
      </c>
      <c r="D61" s="61">
        <v>0</v>
      </c>
      <c r="E61" s="61">
        <v>0</v>
      </c>
      <c r="F61" s="61">
        <f>MeetingSubsidizationReport15002000paxTable[[#This Row],[Supported by AW]]/$F$2</f>
        <v>0</v>
      </c>
    </row>
    <row r="62" spans="1:6">
      <c r="A62" s="64" t="s">
        <v>14</v>
      </c>
      <c r="B62" s="61">
        <v>0</v>
      </c>
      <c r="C62" s="61">
        <v>0</v>
      </c>
      <c r="D62" s="61">
        <v>0</v>
      </c>
      <c r="E62" s="61">
        <v>0</v>
      </c>
      <c r="F62" s="61">
        <f>MeetingSubsidizationReport15002000paxTable[[#This Row],[Supported by AW]]/$F$2</f>
        <v>0</v>
      </c>
    </row>
    <row r="63" spans="1:6" ht="15.75">
      <c r="A63" s="110" t="s">
        <v>319</v>
      </c>
      <c r="B63" s="71">
        <f>SUBTOTAL(109,[No. Session])</f>
        <v>0</v>
      </c>
      <c r="C63" s="74"/>
      <c r="D63" s="74"/>
      <c r="E63" s="71">
        <f>SUBTOTAL(109,[Supported by AW])</f>
        <v>0</v>
      </c>
      <c r="F63" s="70">
        <f>SUBTOTAL(109,[USD])</f>
        <v>0</v>
      </c>
    </row>
  </sheetData>
  <conditionalFormatting sqref="B53:F57 B42:F49 B61:F62 B6:F9 B15:F38">
    <cfRule type="cellIs" dxfId="182" priority="5" operator="equal">
      <formula>0</formula>
    </cfRule>
  </conditionalFormatting>
  <dataValidations count="1">
    <dataValidation type="list" allowBlank="1" showInputMessage="1" showErrorMessage="1" sqref="B2">
      <formula1>"SEP,OCT,NOV,DEC,JAN,FEB"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X28"/>
  <sheetViews>
    <sheetView showGridLines="0" tabSelected="1" workbookViewId="0">
      <pane xSplit="8" ySplit="3" topLeftCell="I4" activePane="bottomRight" state="frozen"/>
      <selection activeCell="C37" sqref="C37"/>
      <selection pane="topRight" activeCell="C37" sqref="C37"/>
      <selection pane="bottomLeft" activeCell="C37" sqref="C37"/>
      <selection pane="bottomRight" activeCell="I3" sqref="I3"/>
    </sheetView>
  </sheetViews>
  <sheetFormatPr defaultRowHeight="15" outlineLevelCol="1"/>
  <cols>
    <col min="1" max="1" width="9.5703125" style="3" customWidth="1"/>
    <col min="2" max="2" width="31.7109375" style="3" customWidth="1"/>
    <col min="3" max="4" width="12.28515625" style="7" customWidth="1"/>
    <col min="5" max="5" width="30.28515625" style="7" customWidth="1"/>
    <col min="6" max="6" width="10.140625" style="3" customWidth="1"/>
    <col min="7" max="7" width="9.42578125" style="3" customWidth="1"/>
    <col min="8" max="8" width="9.28515625" style="3" customWidth="1"/>
    <col min="9" max="9" width="17.5703125" style="3" bestFit="1" customWidth="1" outlineLevel="1"/>
    <col min="10" max="10" width="19" style="3" customWidth="1" outlineLevel="1"/>
    <col min="11" max="11" width="12.28515625" style="3" customWidth="1" outlineLevel="1"/>
    <col min="12" max="12" width="13" style="3" customWidth="1" outlineLevel="1"/>
    <col min="13" max="13" width="13.140625" style="9" customWidth="1" outlineLevel="1"/>
    <col min="14" max="14" width="14.42578125" customWidth="1" outlineLevel="1"/>
    <col min="15" max="15" width="15.85546875" style="52" customWidth="1" outlineLevel="1"/>
    <col min="16" max="16" width="9.140625" style="3"/>
    <col min="17" max="17" width="29.28515625" style="95" customWidth="1"/>
    <col min="18" max="18" width="32.42578125" style="99" customWidth="1"/>
    <col min="19" max="19" width="25.42578125" style="116" hidden="1" customWidth="1"/>
    <col min="21" max="21" width="9.140625" style="154"/>
    <col min="22" max="22" width="12.28515625" customWidth="1"/>
    <col min="24" max="24" width="23" style="396" customWidth="1"/>
  </cols>
  <sheetData>
    <row r="1" spans="1:24" s="1" customFormat="1" ht="24" customHeight="1">
      <c r="A1" s="26" t="s">
        <v>17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50"/>
      <c r="P1" s="23"/>
      <c r="Q1" s="94"/>
      <c r="R1" s="97"/>
      <c r="S1" s="24"/>
      <c r="U1" s="478"/>
      <c r="X1" s="397"/>
    </row>
    <row r="2" spans="1:24" s="1" customFormat="1" ht="20.25" customHeight="1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50"/>
      <c r="P2" s="23"/>
      <c r="Q2" s="94"/>
      <c r="R2" s="97"/>
      <c r="S2" s="24"/>
      <c r="U2" s="478"/>
      <c r="X2" s="397"/>
    </row>
    <row r="3" spans="1:24" s="21" customFormat="1" ht="30">
      <c r="A3" s="14" t="s">
        <v>0</v>
      </c>
      <c r="B3" s="15" t="s">
        <v>1161</v>
      </c>
      <c r="C3" s="15" t="s">
        <v>42</v>
      </c>
      <c r="D3" s="15" t="s">
        <v>418</v>
      </c>
      <c r="E3" s="15" t="s">
        <v>1162</v>
      </c>
      <c r="F3" s="15" t="s">
        <v>41</v>
      </c>
      <c r="G3" s="15" t="s">
        <v>52</v>
      </c>
      <c r="H3" s="15" t="s">
        <v>53</v>
      </c>
      <c r="I3" s="15" t="s">
        <v>45</v>
      </c>
      <c r="J3" s="15" t="s">
        <v>44</v>
      </c>
      <c r="K3" s="15" t="s">
        <v>2</v>
      </c>
      <c r="L3" s="17" t="s">
        <v>46</v>
      </c>
      <c r="M3" s="18" t="s">
        <v>47</v>
      </c>
      <c r="N3" s="19" t="s">
        <v>48</v>
      </c>
      <c r="O3" s="51" t="s">
        <v>8</v>
      </c>
      <c r="P3" s="15" t="s">
        <v>1</v>
      </c>
      <c r="Q3" s="51" t="s">
        <v>9</v>
      </c>
      <c r="R3" s="20" t="s">
        <v>7</v>
      </c>
      <c r="S3" s="20" t="s">
        <v>72</v>
      </c>
      <c r="T3" s="20" t="s">
        <v>573</v>
      </c>
      <c r="U3" s="479" t="s">
        <v>1160</v>
      </c>
      <c r="V3" s="20" t="s">
        <v>596</v>
      </c>
      <c r="W3" s="20" t="s">
        <v>664</v>
      </c>
      <c r="X3" s="480" t="s">
        <v>1159</v>
      </c>
    </row>
    <row r="4" spans="1:24" s="109" customFormat="1" ht="30">
      <c r="A4" s="89">
        <v>2334307</v>
      </c>
      <c r="B4" s="88" t="s">
        <v>680</v>
      </c>
      <c r="C4" s="89" t="s">
        <v>19</v>
      </c>
      <c r="D4" s="89">
        <v>2334307</v>
      </c>
      <c r="E4" s="88" t="s">
        <v>680</v>
      </c>
      <c r="F4" s="89" t="s">
        <v>5</v>
      </c>
      <c r="G4" s="89">
        <v>8</v>
      </c>
      <c r="H4" s="121" t="s">
        <v>486</v>
      </c>
      <c r="I4" s="89" t="s">
        <v>666</v>
      </c>
      <c r="J4" s="89" t="s">
        <v>682</v>
      </c>
      <c r="K4" s="89" t="s">
        <v>471</v>
      </c>
      <c r="L4" s="87">
        <v>2500000</v>
      </c>
      <c r="M4" s="85">
        <f>MeetingHistoryData[[#This Row],[Rental Cost]]-MeetingHistoryData[[#This Row],[Supported By AW]]</f>
        <v>500000</v>
      </c>
      <c r="N4" s="90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2000000</v>
      </c>
      <c r="O4" s="86" t="s">
        <v>391</v>
      </c>
      <c r="P4" s="87" t="s">
        <v>942</v>
      </c>
      <c r="Q4" s="91" t="s">
        <v>888</v>
      </c>
      <c r="R4" s="98" t="s">
        <v>943</v>
      </c>
      <c r="S4" s="87" t="s">
        <v>846</v>
      </c>
      <c r="T4" s="301" t="s">
        <v>880</v>
      </c>
      <c r="U4" s="301"/>
      <c r="V4" s="302" t="s">
        <v>985</v>
      </c>
      <c r="W4" s="301" t="s">
        <v>886</v>
      </c>
      <c r="X4" s="481"/>
    </row>
    <row r="5" spans="1:24" s="109" customFormat="1" ht="30">
      <c r="A5" s="89">
        <v>2334307</v>
      </c>
      <c r="B5" s="88" t="s">
        <v>680</v>
      </c>
      <c r="C5" s="89" t="s">
        <v>19</v>
      </c>
      <c r="D5" s="89">
        <v>2334307</v>
      </c>
      <c r="E5" s="88" t="s">
        <v>680</v>
      </c>
      <c r="F5" s="89" t="s">
        <v>5</v>
      </c>
      <c r="G5" s="89">
        <v>8</v>
      </c>
      <c r="H5" s="121" t="s">
        <v>486</v>
      </c>
      <c r="I5" s="89" t="s">
        <v>668</v>
      </c>
      <c r="J5" s="89" t="s">
        <v>682</v>
      </c>
      <c r="K5" s="89" t="s">
        <v>471</v>
      </c>
      <c r="L5" s="87">
        <v>2500000</v>
      </c>
      <c r="M5" s="85">
        <f>MeetingHistoryData[[#This Row],[Rental Cost]]-MeetingHistoryData[[#This Row],[Supported By AW]]</f>
        <v>500000</v>
      </c>
      <c r="N5" s="90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2000000</v>
      </c>
      <c r="O5" s="86" t="s">
        <v>391</v>
      </c>
      <c r="P5" s="87" t="s">
        <v>942</v>
      </c>
      <c r="Q5" s="91" t="s">
        <v>888</v>
      </c>
      <c r="R5" s="98" t="s">
        <v>943</v>
      </c>
      <c r="S5" s="87" t="s">
        <v>847</v>
      </c>
      <c r="T5" s="301" t="s">
        <v>880</v>
      </c>
      <c r="U5" s="301"/>
      <c r="V5" s="302" t="s">
        <v>985</v>
      </c>
      <c r="W5" s="301" t="s">
        <v>886</v>
      </c>
      <c r="X5" s="481"/>
    </row>
    <row r="6" spans="1:24" s="109" customFormat="1" ht="30">
      <c r="A6" s="89">
        <v>2085896</v>
      </c>
      <c r="B6" s="88" t="s">
        <v>91</v>
      </c>
      <c r="C6" s="89" t="s">
        <v>22</v>
      </c>
      <c r="D6" s="89">
        <v>2085896</v>
      </c>
      <c r="E6" s="88" t="s">
        <v>91</v>
      </c>
      <c r="F6" s="89" t="s">
        <v>13</v>
      </c>
      <c r="G6" s="89">
        <v>15</v>
      </c>
      <c r="H6" s="121" t="s">
        <v>486</v>
      </c>
      <c r="I6" s="89" t="s">
        <v>668</v>
      </c>
      <c r="J6" s="89" t="s">
        <v>290</v>
      </c>
      <c r="K6" s="89" t="s">
        <v>14</v>
      </c>
      <c r="L6" s="87">
        <v>15840000</v>
      </c>
      <c r="M6" s="85">
        <f>MeetingHistoryData[[#This Row],[Rental Cost]]-MeetingHistoryData[[#This Row],[Supported By AW]]</f>
        <v>3168000</v>
      </c>
      <c r="N6" s="90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12672000</v>
      </c>
      <c r="O6" s="86" t="s">
        <v>391</v>
      </c>
      <c r="P6" s="87" t="s">
        <v>942</v>
      </c>
      <c r="Q6" s="91" t="s">
        <v>935</v>
      </c>
      <c r="R6" s="98" t="s">
        <v>945</v>
      </c>
      <c r="S6" s="87" t="s">
        <v>848</v>
      </c>
      <c r="T6" s="301"/>
      <c r="U6" s="301"/>
      <c r="V6" s="302" t="s">
        <v>952</v>
      </c>
      <c r="W6" s="301"/>
      <c r="X6" s="481"/>
    </row>
    <row r="7" spans="1:24" s="109" customFormat="1" ht="45">
      <c r="A7" s="89">
        <v>2452239</v>
      </c>
      <c r="B7" s="512" t="s">
        <v>849</v>
      </c>
      <c r="C7" s="89" t="s">
        <v>19</v>
      </c>
      <c r="D7" s="89" t="s">
        <v>853</v>
      </c>
      <c r="E7" s="88" t="s">
        <v>852</v>
      </c>
      <c r="F7" s="89" t="s">
        <v>11</v>
      </c>
      <c r="G7" s="89">
        <v>8</v>
      </c>
      <c r="H7" s="121" t="s">
        <v>486</v>
      </c>
      <c r="I7" s="89" t="s">
        <v>668</v>
      </c>
      <c r="J7" s="89" t="s">
        <v>850</v>
      </c>
      <c r="K7" s="89" t="s">
        <v>10</v>
      </c>
      <c r="L7" s="87">
        <v>8100000</v>
      </c>
      <c r="M7" s="85">
        <f>MeetingHistoryData[[#This Row],[Rental Cost]]-MeetingHistoryData[[#This Row],[Supported By AW]]</f>
        <v>1620000</v>
      </c>
      <c r="N7" s="90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6480000</v>
      </c>
      <c r="O7" s="86" t="s">
        <v>796</v>
      </c>
      <c r="P7" s="87" t="s">
        <v>942</v>
      </c>
      <c r="Q7" s="91" t="s">
        <v>873</v>
      </c>
      <c r="R7" s="98" t="s">
        <v>1013</v>
      </c>
      <c r="S7" s="87" t="s">
        <v>851</v>
      </c>
      <c r="T7" s="301" t="s">
        <v>880</v>
      </c>
      <c r="U7" s="301"/>
      <c r="V7" s="302" t="s">
        <v>993</v>
      </c>
      <c r="W7" s="301" t="s">
        <v>886</v>
      </c>
      <c r="X7" s="481"/>
    </row>
    <row r="8" spans="1:24" s="109" customFormat="1" ht="60">
      <c r="A8" s="511">
        <v>2202993</v>
      </c>
      <c r="B8" s="512" t="s">
        <v>854</v>
      </c>
      <c r="C8" s="89" t="s">
        <v>19</v>
      </c>
      <c r="D8" s="511" t="s">
        <v>860</v>
      </c>
      <c r="E8" s="88" t="s">
        <v>859</v>
      </c>
      <c r="F8" s="89" t="s">
        <v>11</v>
      </c>
      <c r="G8" s="89">
        <v>8</v>
      </c>
      <c r="H8" s="121" t="s">
        <v>486</v>
      </c>
      <c r="I8" s="89" t="s">
        <v>707</v>
      </c>
      <c r="J8" s="89" t="s">
        <v>681</v>
      </c>
      <c r="K8" s="89" t="s">
        <v>10</v>
      </c>
      <c r="L8" s="87">
        <v>12500000</v>
      </c>
      <c r="M8" s="85">
        <f>MeetingHistoryData[[#This Row],[Rental Cost]]-MeetingHistoryData[[#This Row],[Supported By AW]]</f>
        <v>2500000</v>
      </c>
      <c r="N8" s="90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10000000</v>
      </c>
      <c r="O8" s="86" t="s">
        <v>796</v>
      </c>
      <c r="P8" s="87" t="s">
        <v>955</v>
      </c>
      <c r="Q8" s="91" t="s">
        <v>887</v>
      </c>
      <c r="R8" s="98" t="s">
        <v>944</v>
      </c>
      <c r="S8" s="87" t="s">
        <v>855</v>
      </c>
      <c r="T8" s="301" t="s">
        <v>880</v>
      </c>
      <c r="U8" s="301"/>
      <c r="V8" s="302" t="s">
        <v>914</v>
      </c>
      <c r="W8" s="301" t="s">
        <v>886</v>
      </c>
      <c r="X8" s="482"/>
    </row>
    <row r="9" spans="1:24">
      <c r="K9" s="3" t="s">
        <v>602</v>
      </c>
      <c r="R9" s="99" t="s">
        <v>602</v>
      </c>
    </row>
    <row r="16" spans="1:24">
      <c r="A16"/>
      <c r="B16"/>
      <c r="C16"/>
      <c r="D16"/>
      <c r="E16"/>
      <c r="F16"/>
      <c r="G16" s="122"/>
      <c r="H16"/>
      <c r="I16"/>
      <c r="J16"/>
      <c r="K16"/>
      <c r="L16"/>
      <c r="M16"/>
      <c r="O16"/>
      <c r="P16"/>
      <c r="Q16"/>
      <c r="R16"/>
      <c r="S16"/>
    </row>
    <row r="20" spans="1:19">
      <c r="O20" s="3"/>
    </row>
    <row r="23" spans="1:19">
      <c r="J23" s="122" t="s">
        <v>1070</v>
      </c>
    </row>
    <row r="24" spans="1:19">
      <c r="J24" s="3" t="s">
        <v>1071</v>
      </c>
    </row>
    <row r="27" spans="1:19">
      <c r="A27"/>
      <c r="B27" s="123"/>
      <c r="C27" s="123"/>
      <c r="D27" s="123"/>
      <c r="E27" s="123"/>
      <c r="F27" s="124"/>
      <c r="G27"/>
      <c r="H27"/>
      <c r="I27"/>
      <c r="J27"/>
      <c r="K27"/>
      <c r="L27"/>
      <c r="M27"/>
      <c r="O27"/>
      <c r="P27"/>
      <c r="Q27"/>
      <c r="R27"/>
      <c r="S27"/>
    </row>
    <row r="28" spans="1:19">
      <c r="A28"/>
      <c r="B28" s="125"/>
      <c r="C28" s="126"/>
      <c r="D28" s="126"/>
      <c r="E28" s="126"/>
      <c r="F28" s="125"/>
      <c r="G28"/>
      <c r="H28"/>
      <c r="I28"/>
      <c r="J28"/>
      <c r="K28"/>
      <c r="L28"/>
      <c r="M28"/>
      <c r="O28"/>
      <c r="P28"/>
      <c r="Q28"/>
      <c r="R28"/>
      <c r="S28"/>
    </row>
  </sheetData>
  <sheetProtection selectLockedCells="1"/>
  <autoFilter ref="X3"/>
  <dataValidations count="1">
    <dataValidation type="list" allowBlank="1" showInputMessage="1" showErrorMessage="1" sqref="F4:F8">
      <formula1>"100pax,500pax,1000pax,1500-2000pax"</formula1>
    </dataValidation>
  </dataValidations>
  <pageMargins left="0.2" right="0.2" top="0.2" bottom="0.2" header="0.2" footer="0.2"/>
  <pageSetup paperSize="9" fitToHeight="8" orientation="landscape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Q1177"/>
  <sheetViews>
    <sheetView showGridLines="0" workbookViewId="0">
      <pane ySplit="16" topLeftCell="A1107" activePane="bottomLeft" state="frozen"/>
      <selection pane="bottomLeft" activeCell="A1109" sqref="A1109"/>
    </sheetView>
  </sheetViews>
  <sheetFormatPr defaultRowHeight="15"/>
  <cols>
    <col min="1" max="1" width="9.5703125" style="3" customWidth="1"/>
    <col min="2" max="2" width="27.7109375" style="3" customWidth="1"/>
    <col min="3" max="3" width="11.7109375" style="7" customWidth="1"/>
    <col min="4" max="4" width="13.85546875" style="107" customWidth="1"/>
    <col min="5" max="5" width="9.5703125" style="56" customWidth="1"/>
    <col min="6" max="6" width="9.5703125" customWidth="1"/>
    <col min="7" max="7" width="8.7109375" customWidth="1"/>
    <col min="8" max="8" width="10.85546875" customWidth="1"/>
    <col min="9" max="14" width="7.140625" style="3" customWidth="1"/>
    <col min="15" max="15" width="33.42578125" style="3" customWidth="1"/>
    <col min="16" max="16" width="14.5703125" style="7" customWidth="1"/>
    <col min="17" max="17" width="12" customWidth="1"/>
  </cols>
  <sheetData>
    <row r="1" spans="1:17" hidden="1">
      <c r="A1" s="22" t="s">
        <v>489</v>
      </c>
    </row>
    <row r="2" spans="1:17" hidden="1">
      <c r="A2" s="22" t="s">
        <v>488</v>
      </c>
    </row>
    <row r="3" spans="1:17" hidden="1">
      <c r="A3" s="22" t="s">
        <v>22</v>
      </c>
      <c r="B3" s="23"/>
      <c r="C3" s="24"/>
      <c r="D3" s="108"/>
      <c r="E3" s="54"/>
      <c r="F3" s="25"/>
      <c r="G3" s="25"/>
      <c r="H3" s="25"/>
      <c r="I3" s="23"/>
      <c r="J3" s="23"/>
      <c r="K3" s="23"/>
      <c r="L3" s="23"/>
      <c r="M3" s="23"/>
      <c r="N3" s="23"/>
      <c r="O3" s="23"/>
      <c r="P3" s="24"/>
    </row>
    <row r="4" spans="1:17" hidden="1">
      <c r="A4" s="22" t="s">
        <v>21</v>
      </c>
      <c r="B4" s="23"/>
      <c r="C4" s="24"/>
      <c r="D4" s="108"/>
      <c r="E4" s="54"/>
      <c r="F4" s="25"/>
      <c r="G4" s="25"/>
      <c r="H4" s="25"/>
      <c r="I4" s="23"/>
      <c r="J4" s="23"/>
      <c r="K4" s="23"/>
      <c r="L4" s="23"/>
      <c r="M4" s="23"/>
      <c r="N4" s="23"/>
      <c r="O4" s="23"/>
      <c r="P4" s="24"/>
    </row>
    <row r="5" spans="1:17" hidden="1">
      <c r="A5" s="22" t="s">
        <v>25</v>
      </c>
      <c r="B5" s="23"/>
      <c r="C5" s="24"/>
      <c r="D5" s="108"/>
      <c r="E5" s="54"/>
      <c r="F5" s="25"/>
      <c r="G5" s="25"/>
      <c r="H5" s="25"/>
      <c r="I5" s="23"/>
      <c r="J5" s="23"/>
      <c r="K5" s="23"/>
      <c r="L5" s="23"/>
      <c r="M5" s="23"/>
      <c r="N5" s="23"/>
      <c r="O5" s="23"/>
      <c r="P5" s="24"/>
    </row>
    <row r="6" spans="1:17" hidden="1">
      <c r="A6" s="22" t="s">
        <v>19</v>
      </c>
      <c r="B6" s="23"/>
      <c r="C6" s="24"/>
      <c r="D6" s="108"/>
      <c r="E6" s="54"/>
      <c r="F6" s="25"/>
      <c r="G6" s="25"/>
      <c r="H6" s="25"/>
      <c r="I6" s="23"/>
      <c r="J6" s="23"/>
      <c r="K6" s="23"/>
      <c r="L6" s="23"/>
      <c r="M6" s="23"/>
      <c r="N6" s="23"/>
      <c r="O6" s="23"/>
      <c r="P6" s="24"/>
    </row>
    <row r="7" spans="1:17" hidden="1">
      <c r="A7" s="22" t="s">
        <v>36</v>
      </c>
      <c r="B7" s="23"/>
      <c r="C7" s="24"/>
      <c r="D7" s="108"/>
      <c r="E7" s="54"/>
      <c r="F7" s="25"/>
      <c r="G7" s="25"/>
      <c r="H7" s="25"/>
      <c r="I7" s="23"/>
      <c r="J7" s="23"/>
      <c r="K7" s="23"/>
      <c r="L7" s="23"/>
      <c r="M7" s="23"/>
      <c r="N7" s="23"/>
      <c r="O7" s="23"/>
      <c r="P7" s="24"/>
    </row>
    <row r="8" spans="1:17" hidden="1">
      <c r="A8" s="22" t="s">
        <v>33</v>
      </c>
      <c r="B8" s="23"/>
      <c r="C8" s="24"/>
      <c r="D8" s="108"/>
      <c r="E8" s="54"/>
      <c r="F8" s="25"/>
      <c r="G8" s="25"/>
      <c r="H8" s="25"/>
      <c r="I8" s="23"/>
      <c r="J8" s="23"/>
      <c r="K8" s="23"/>
      <c r="L8" s="23"/>
      <c r="M8" s="23"/>
      <c r="N8" s="23"/>
      <c r="O8" s="23"/>
      <c r="P8" s="24"/>
    </row>
    <row r="9" spans="1:17" hidden="1">
      <c r="A9" s="23"/>
      <c r="B9" s="23"/>
      <c r="C9" s="24"/>
      <c r="D9" s="108"/>
      <c r="E9" s="54"/>
      <c r="F9" s="25"/>
      <c r="G9" s="25"/>
      <c r="H9" s="25"/>
      <c r="I9" s="23"/>
      <c r="J9" s="23"/>
      <c r="K9" s="23"/>
      <c r="L9" s="23"/>
      <c r="M9" s="23"/>
      <c r="N9" s="23"/>
      <c r="O9" s="23"/>
      <c r="P9" s="24"/>
    </row>
    <row r="10" spans="1:17" hidden="1">
      <c r="A10" s="23"/>
      <c r="B10" s="23"/>
      <c r="C10" s="24"/>
      <c r="D10" s="108"/>
      <c r="E10" s="54"/>
      <c r="F10" s="25"/>
      <c r="G10" s="25"/>
      <c r="H10" s="25"/>
      <c r="I10" s="23"/>
      <c r="J10" s="23"/>
      <c r="K10" s="23"/>
      <c r="L10" s="23"/>
      <c r="M10" s="23"/>
      <c r="N10" s="23"/>
      <c r="O10" s="23"/>
      <c r="P10" s="24"/>
    </row>
    <row r="11" spans="1:17" hidden="1">
      <c r="A11" s="23"/>
      <c r="B11" s="23"/>
      <c r="C11" s="24"/>
      <c r="D11" s="108"/>
      <c r="E11" s="54"/>
      <c r="F11" s="25"/>
      <c r="G11" s="25"/>
      <c r="H11" s="25"/>
      <c r="I11" s="23"/>
      <c r="J11" s="23"/>
      <c r="K11" s="23"/>
      <c r="L11" s="23"/>
      <c r="M11" s="23"/>
      <c r="N11" s="23"/>
      <c r="O11" s="23"/>
      <c r="P11" s="24"/>
    </row>
    <row r="12" spans="1:17" hidden="1">
      <c r="A12" s="23"/>
      <c r="B12" s="23"/>
      <c r="C12" s="24"/>
      <c r="D12" s="108"/>
      <c r="E12" s="54"/>
      <c r="F12" s="25"/>
      <c r="G12" s="25"/>
      <c r="H12" s="25"/>
      <c r="I12" s="23"/>
      <c r="J12" s="23"/>
      <c r="K12" s="23"/>
      <c r="L12" s="23"/>
      <c r="M12" s="23"/>
      <c r="N12" s="23"/>
      <c r="O12" s="23"/>
      <c r="P12" s="24"/>
    </row>
    <row r="13" spans="1:17" s="1" customFormat="1" ht="24" customHeight="1">
      <c r="A13" s="26" t="s">
        <v>16</v>
      </c>
      <c r="B13" s="23"/>
      <c r="C13" s="23"/>
      <c r="D13" s="108"/>
      <c r="E13" s="54"/>
      <c r="F13" s="25"/>
      <c r="G13" s="25"/>
      <c r="H13" s="25"/>
      <c r="I13" s="23"/>
      <c r="J13" s="23"/>
      <c r="K13" s="23"/>
      <c r="L13" s="23"/>
      <c r="M13" s="23"/>
      <c r="N13" s="23"/>
      <c r="O13" s="23"/>
      <c r="P13" s="24"/>
    </row>
    <row r="14" spans="1:17" s="1" customFormat="1" ht="14.25" customHeight="1">
      <c r="A14" s="26"/>
      <c r="B14" s="23"/>
      <c r="C14" s="23"/>
      <c r="D14" s="108"/>
      <c r="E14" s="54"/>
      <c r="F14" s="25"/>
      <c r="G14" s="25"/>
      <c r="H14" s="25"/>
      <c r="I14" s="25"/>
      <c r="J14" s="25"/>
      <c r="K14" s="25"/>
      <c r="L14" s="25"/>
      <c r="M14" s="25"/>
      <c r="N14" s="25"/>
      <c r="O14" s="23"/>
      <c r="P14" s="24"/>
    </row>
    <row r="15" spans="1:17" s="1" customFormat="1" ht="15.75">
      <c r="A15" s="23"/>
      <c r="B15" s="23"/>
      <c r="C15" s="24"/>
      <c r="D15" s="108"/>
      <c r="E15" s="54"/>
      <c r="F15" s="25"/>
      <c r="G15" s="25"/>
      <c r="H15" s="25"/>
      <c r="I15" s="508" t="s">
        <v>845</v>
      </c>
      <c r="J15" s="509"/>
      <c r="K15" s="509"/>
      <c r="L15" s="509"/>
      <c r="M15" s="509"/>
      <c r="N15" s="510"/>
      <c r="O15" s="101" t="s">
        <v>528</v>
      </c>
      <c r="P15" s="24"/>
    </row>
    <row r="16" spans="1:17" s="10" customFormat="1">
      <c r="A16" s="14" t="s">
        <v>0</v>
      </c>
      <c r="B16" s="15" t="s">
        <v>43</v>
      </c>
      <c r="C16" s="15" t="s">
        <v>42</v>
      </c>
      <c r="D16" s="15" t="s">
        <v>41</v>
      </c>
      <c r="E16" s="55" t="s">
        <v>15</v>
      </c>
      <c r="F16" s="16" t="s">
        <v>40</v>
      </c>
      <c r="G16" s="16" t="s">
        <v>18</v>
      </c>
      <c r="H16" s="16" t="s">
        <v>39</v>
      </c>
      <c r="I16" s="13" t="s">
        <v>480</v>
      </c>
      <c r="J16" s="13" t="s">
        <v>481</v>
      </c>
      <c r="K16" s="13" t="s">
        <v>482</v>
      </c>
      <c r="L16" s="13" t="s">
        <v>483</v>
      </c>
      <c r="M16" s="13" t="s">
        <v>484</v>
      </c>
      <c r="N16" s="13" t="s">
        <v>485</v>
      </c>
      <c r="O16" s="15" t="s">
        <v>7</v>
      </c>
      <c r="P16" s="15" t="s">
        <v>2</v>
      </c>
      <c r="Q16" s="96" t="s">
        <v>418</v>
      </c>
    </row>
    <row r="17" spans="1:17" s="109" customFormat="1">
      <c r="A17" s="4">
        <v>2009188</v>
      </c>
      <c r="B17" s="5" t="s">
        <v>23</v>
      </c>
      <c r="C17" s="4" t="s">
        <v>12</v>
      </c>
      <c r="D17" s="4" t="s">
        <v>13</v>
      </c>
      <c r="E17" s="53">
        <v>3</v>
      </c>
      <c r="F17" s="11">
        <f>SUM(DistMeetingQuota[[#This Row],[Sep]:[Feb]])</f>
        <v>3</v>
      </c>
      <c r="G17" s="11">
        <f>DistMeetingQuota[[#This Row],[Quota]]-DistMeetingQuota[[#This Row],[Actual]]</f>
        <v>0</v>
      </c>
      <c r="H17" s="12">
        <f>DistMeetingQuota[[#This Row],[Actual]]/DistMeetingQuota[[#This Row],[Quota]]</f>
        <v>1</v>
      </c>
      <c r="I17" s="4"/>
      <c r="J17" s="2"/>
      <c r="K17" s="2"/>
      <c r="L17" s="2">
        <v>1</v>
      </c>
      <c r="M17" s="2">
        <v>1</v>
      </c>
      <c r="N17" s="2">
        <v>1</v>
      </c>
      <c r="O17" s="127"/>
      <c r="P17" s="4" t="s">
        <v>10</v>
      </c>
      <c r="Q17" s="8"/>
    </row>
    <row r="18" spans="1:17" s="109" customFormat="1">
      <c r="A18" s="4">
        <v>2009188</v>
      </c>
      <c r="B18" s="5" t="s">
        <v>23</v>
      </c>
      <c r="C18" s="4" t="s">
        <v>22</v>
      </c>
      <c r="D18" s="4" t="s">
        <v>487</v>
      </c>
      <c r="E18" s="53">
        <v>2</v>
      </c>
      <c r="F18" s="11">
        <f>SUM(DistMeetingQuota[[#This Row],[Sep]:[Feb]])</f>
        <v>2</v>
      </c>
      <c r="G18" s="11">
        <f>DistMeetingQuota[[#This Row],[Quota]]-DistMeetingQuota[[#This Row],[Actual]]</f>
        <v>0</v>
      </c>
      <c r="H18" s="12">
        <f>DistMeetingQuota[[#This Row],[Actual]]/DistMeetingQuota[[#This Row],[Quota]]</f>
        <v>1</v>
      </c>
      <c r="I18" s="4"/>
      <c r="J18" s="2">
        <v>1</v>
      </c>
      <c r="K18" s="2"/>
      <c r="L18" s="2"/>
      <c r="M18" s="2"/>
      <c r="N18" s="2">
        <v>1</v>
      </c>
      <c r="O18" s="8"/>
      <c r="P18" s="4" t="s">
        <v>10</v>
      </c>
      <c r="Q18" s="8"/>
    </row>
    <row r="19" spans="1:17" s="109" customFormat="1" ht="30">
      <c r="A19" s="2">
        <v>2014997</v>
      </c>
      <c r="B19" s="5" t="s">
        <v>81</v>
      </c>
      <c r="C19" s="4" t="s">
        <v>488</v>
      </c>
      <c r="D19" s="4" t="s">
        <v>13</v>
      </c>
      <c r="E19" s="53">
        <v>3</v>
      </c>
      <c r="F19" s="11">
        <f>SUM(DistMeetingQuota[[#This Row],[Sep]:[Feb]])</f>
        <v>0</v>
      </c>
      <c r="G19" s="11">
        <f>DistMeetingQuota[[#This Row],[Quota]]-DistMeetingQuota[[#This Row],[Actual]]</f>
        <v>3</v>
      </c>
      <c r="H19" s="12">
        <f>DistMeetingQuota[[#This Row],[Actual]]/DistMeetingQuota[[#This Row],[Quota]]</f>
        <v>0</v>
      </c>
      <c r="I19" s="2"/>
      <c r="J19" s="2"/>
      <c r="K19" s="2"/>
      <c r="L19" s="2"/>
      <c r="M19" s="2"/>
      <c r="N19" s="2"/>
      <c r="O19" s="2"/>
      <c r="P19" s="4" t="s">
        <v>14</v>
      </c>
      <c r="Q19" s="2"/>
    </row>
    <row r="20" spans="1:17" s="109" customFormat="1" ht="30">
      <c r="A20" s="2">
        <v>2014997</v>
      </c>
      <c r="B20" s="5" t="s">
        <v>81</v>
      </c>
      <c r="C20" s="4" t="s">
        <v>488</v>
      </c>
      <c r="D20" s="4" t="s">
        <v>487</v>
      </c>
      <c r="E20" s="53">
        <v>2</v>
      </c>
      <c r="F20" s="11">
        <f>SUM(DistMeetingQuota[[#This Row],[Sep]:[Feb]])</f>
        <v>2</v>
      </c>
      <c r="G20" s="11">
        <f>DistMeetingQuota[[#This Row],[Quota]]-DistMeetingQuota[[#This Row],[Actual]]</f>
        <v>0</v>
      </c>
      <c r="H20" s="12">
        <f>DistMeetingQuota[[#This Row],[Actual]]/DistMeetingQuota[[#This Row],[Quota]]</f>
        <v>1</v>
      </c>
      <c r="I20" s="2"/>
      <c r="J20" s="2">
        <v>2</v>
      </c>
      <c r="K20" s="2"/>
      <c r="L20" s="2"/>
      <c r="M20" s="2"/>
      <c r="N20" s="2"/>
      <c r="O20" s="2"/>
      <c r="P20" s="4" t="s">
        <v>14</v>
      </c>
      <c r="Q20" s="2"/>
    </row>
    <row r="21" spans="1:17" s="109" customFormat="1" ht="30">
      <c r="A21" s="78">
        <v>2191706</v>
      </c>
      <c r="B21" s="92" t="s">
        <v>507</v>
      </c>
      <c r="C21" s="78" t="s">
        <v>22</v>
      </c>
      <c r="D21" s="4" t="s">
        <v>13</v>
      </c>
      <c r="E21" s="79">
        <v>3</v>
      </c>
      <c r="F21" s="11">
        <f>SUM(DistMeetingQuota[[#This Row],[Sep]:[Feb]])</f>
        <v>0</v>
      </c>
      <c r="G21" s="11">
        <f>DistMeetingQuota[[#This Row],[Quota]]-DistMeetingQuota[[#This Row],[Actual]]</f>
        <v>3</v>
      </c>
      <c r="H21" s="80">
        <f>DistMeetingQuota[[#This Row],[Actual]]/DistMeetingQuota[[#This Row],[Quota]]</f>
        <v>0</v>
      </c>
      <c r="I21" s="78"/>
      <c r="J21" s="6"/>
      <c r="K21" s="6"/>
      <c r="L21" s="6"/>
      <c r="M21" s="6"/>
      <c r="N21" s="6"/>
      <c r="O21" s="6"/>
      <c r="P21" s="78" t="s">
        <v>14</v>
      </c>
      <c r="Q21" s="6"/>
    </row>
    <row r="22" spans="1:17" s="109" customFormat="1" ht="30">
      <c r="A22" s="78">
        <v>2191706</v>
      </c>
      <c r="B22" s="92" t="s">
        <v>507</v>
      </c>
      <c r="C22" s="78" t="s">
        <v>22</v>
      </c>
      <c r="D22" s="4" t="s">
        <v>487</v>
      </c>
      <c r="E22" s="53">
        <v>2</v>
      </c>
      <c r="F22" s="11">
        <f>SUM(DistMeetingQuota[[#This Row],[Sep]:[Feb]])</f>
        <v>2</v>
      </c>
      <c r="G22" s="11">
        <f>DistMeetingQuota[[#This Row],[Quota]]-DistMeetingQuota[[#This Row],[Actual]]</f>
        <v>0</v>
      </c>
      <c r="H22" s="49">
        <f>DistMeetingQuota[[#This Row],[Actual]]/DistMeetingQuota[[#This Row],[Quota]]</f>
        <v>1</v>
      </c>
      <c r="I22" s="4"/>
      <c r="J22" s="2">
        <v>1</v>
      </c>
      <c r="K22" s="2"/>
      <c r="L22" s="2"/>
      <c r="M22" s="2"/>
      <c r="N22" s="2">
        <v>1</v>
      </c>
      <c r="O22" s="2"/>
      <c r="P22" s="139" t="s">
        <v>14</v>
      </c>
      <c r="Q22" s="2"/>
    </row>
    <row r="23" spans="1:17" s="109" customFormat="1" ht="30">
      <c r="A23" s="2">
        <v>2008982</v>
      </c>
      <c r="B23" s="5" t="s">
        <v>82</v>
      </c>
      <c r="C23" s="4" t="s">
        <v>12</v>
      </c>
      <c r="D23" s="140" t="s">
        <v>13</v>
      </c>
      <c r="E23" s="53">
        <v>3</v>
      </c>
      <c r="F23" s="11">
        <f>SUM(DistMeetingQuota[[#This Row],[Sep]:[Feb]])</f>
        <v>3</v>
      </c>
      <c r="G23" s="11">
        <f>DistMeetingQuota[[#This Row],[Quota]]-DistMeetingQuota[[#This Row],[Actual]]</f>
        <v>0</v>
      </c>
      <c r="H23" s="12">
        <f>DistMeetingQuota[[#This Row],[Actual]]/DistMeetingQuota[[#This Row],[Quota]]</f>
        <v>1</v>
      </c>
      <c r="I23" s="2">
        <v>2</v>
      </c>
      <c r="J23" s="2">
        <v>1</v>
      </c>
      <c r="K23" s="2"/>
      <c r="L23" s="2"/>
      <c r="M23" s="2"/>
      <c r="N23" s="2"/>
      <c r="O23" s="2"/>
      <c r="P23" s="4" t="s">
        <v>14</v>
      </c>
      <c r="Q23" s="2"/>
    </row>
    <row r="24" spans="1:17" s="109" customFormat="1" ht="30">
      <c r="A24" s="2">
        <v>2008982</v>
      </c>
      <c r="B24" s="5" t="s">
        <v>82</v>
      </c>
      <c r="C24" s="4" t="s">
        <v>22</v>
      </c>
      <c r="D24" s="4" t="s">
        <v>487</v>
      </c>
      <c r="E24" s="53">
        <v>2</v>
      </c>
      <c r="F24" s="11">
        <f>SUM(DistMeetingQuota[[#This Row],[Sep]:[Feb]])</f>
        <v>1</v>
      </c>
      <c r="G24" s="11">
        <f>DistMeetingQuota[[#This Row],[Quota]]-DistMeetingQuota[[#This Row],[Actual]]</f>
        <v>1</v>
      </c>
      <c r="H24" s="12">
        <f>DistMeetingQuota[[#This Row],[Actual]]/DistMeetingQuota[[#This Row],[Quota]]</f>
        <v>0.5</v>
      </c>
      <c r="I24" s="2">
        <v>1</v>
      </c>
      <c r="J24" s="2"/>
      <c r="K24" s="2"/>
      <c r="L24" s="2"/>
      <c r="M24" s="2"/>
      <c r="N24" s="2"/>
      <c r="O24" s="2"/>
      <c r="P24" s="4" t="s">
        <v>14</v>
      </c>
      <c r="Q24" s="2"/>
    </row>
    <row r="25" spans="1:17" s="154" customFormat="1" ht="30">
      <c r="A25" s="2">
        <v>2008982</v>
      </c>
      <c r="B25" s="148" t="s">
        <v>83</v>
      </c>
      <c r="C25" s="147" t="s">
        <v>12</v>
      </c>
      <c r="D25" s="147" t="s">
        <v>11</v>
      </c>
      <c r="E25" s="150">
        <v>4</v>
      </c>
      <c r="F25" s="157">
        <f>SUM(DistMeetingQuota[[#This Row],[Sep]:[Feb]])</f>
        <v>3</v>
      </c>
      <c r="G25" s="157">
        <f>DistMeetingQuota[[#This Row],[Quota]]-DistMeetingQuota[[#This Row],[Actual]]</f>
        <v>1</v>
      </c>
      <c r="H25" s="151">
        <f>DistMeetingQuota[[#This Row],[Actual]]/DistMeetingQuota[[#This Row],[Quota]]</f>
        <v>0.75</v>
      </c>
      <c r="I25" s="147"/>
      <c r="J25" s="152">
        <v>3</v>
      </c>
      <c r="K25" s="152"/>
      <c r="L25" s="152"/>
      <c r="M25" s="152"/>
      <c r="N25" s="152"/>
      <c r="O25" s="152" t="s">
        <v>978</v>
      </c>
      <c r="P25" s="147" t="s">
        <v>14</v>
      </c>
      <c r="Q25" s="152"/>
    </row>
    <row r="26" spans="1:17" s="109" customFormat="1" ht="30">
      <c r="A26" s="4">
        <v>2010479</v>
      </c>
      <c r="B26" s="5" t="s">
        <v>83</v>
      </c>
      <c r="C26" s="4" t="s">
        <v>12</v>
      </c>
      <c r="D26" s="4" t="s">
        <v>13</v>
      </c>
      <c r="E26" s="53">
        <v>3</v>
      </c>
      <c r="F26" s="11">
        <f>SUM(DistMeetingQuota[[#This Row],[Sep]:[Feb]])</f>
        <v>0</v>
      </c>
      <c r="G26" s="11">
        <f>DistMeetingQuota[[#This Row],[Quota]]-DistMeetingQuota[[#This Row],[Actual]]</f>
        <v>3</v>
      </c>
      <c r="H26" s="12">
        <f>DistMeetingQuota[[#This Row],[Actual]]/DistMeetingQuota[[#This Row],[Quota]]</f>
        <v>0</v>
      </c>
      <c r="I26" s="4"/>
      <c r="J26" s="2"/>
      <c r="K26" s="2"/>
      <c r="L26" s="2"/>
      <c r="M26" s="2"/>
      <c r="N26" s="2"/>
      <c r="O26" s="2"/>
      <c r="P26" s="4" t="s">
        <v>14</v>
      </c>
      <c r="Q26" s="2"/>
    </row>
    <row r="27" spans="1:17" s="109" customFormat="1" ht="30">
      <c r="A27" s="4">
        <v>2010479</v>
      </c>
      <c r="B27" s="5" t="s">
        <v>83</v>
      </c>
      <c r="C27" s="4" t="s">
        <v>12</v>
      </c>
      <c r="D27" s="4" t="s">
        <v>487</v>
      </c>
      <c r="E27" s="53">
        <v>1</v>
      </c>
      <c r="F27" s="11">
        <f>SUM(DistMeetingQuota[[#This Row],[Sep]:[Feb]])</f>
        <v>1</v>
      </c>
      <c r="G27" s="11">
        <f>DistMeetingQuota[[#This Row],[Quota]]-DistMeetingQuota[[#This Row],[Actual]]</f>
        <v>0</v>
      </c>
      <c r="H27" s="12">
        <f>DistMeetingQuota[[#This Row],[Actual]]/DistMeetingQuota[[#This Row],[Quota]]</f>
        <v>1</v>
      </c>
      <c r="I27" s="4"/>
      <c r="J27" s="2"/>
      <c r="K27" s="2"/>
      <c r="L27" s="2">
        <v>1</v>
      </c>
      <c r="M27" s="2"/>
      <c r="N27" s="2"/>
      <c r="O27" s="2"/>
      <c r="P27" s="4" t="s">
        <v>14</v>
      </c>
      <c r="Q27" s="2"/>
    </row>
    <row r="28" spans="1:17" s="109" customFormat="1">
      <c r="A28" s="4">
        <v>2009500</v>
      </c>
      <c r="B28" s="138" t="s">
        <v>353</v>
      </c>
      <c r="C28" s="4" t="s">
        <v>22</v>
      </c>
      <c r="D28" s="4" t="s">
        <v>13</v>
      </c>
      <c r="E28" s="53">
        <v>3</v>
      </c>
      <c r="F28" s="11">
        <f>SUM(DistMeetingQuota[[#This Row],[Sep]:[Feb]])</f>
        <v>0</v>
      </c>
      <c r="G28" s="11">
        <f>DistMeetingQuota[[#This Row],[Quota]]-DistMeetingQuota[[#This Row],[Actual]]</f>
        <v>3</v>
      </c>
      <c r="H28" s="12">
        <f>DistMeetingQuota[[#This Row],[Actual]]/DistMeetingQuota[[#This Row],[Quota]]</f>
        <v>0</v>
      </c>
      <c r="I28" s="4"/>
      <c r="J28" s="2"/>
      <c r="K28" s="2"/>
      <c r="L28" s="2"/>
      <c r="M28" s="2"/>
      <c r="N28" s="2"/>
      <c r="O28" s="2"/>
      <c r="P28" s="4" t="s">
        <v>10</v>
      </c>
      <c r="Q28" s="2"/>
    </row>
    <row r="29" spans="1:17" s="109" customFormat="1">
      <c r="A29" s="4">
        <v>2009500</v>
      </c>
      <c r="B29" s="138" t="s">
        <v>353</v>
      </c>
      <c r="C29" s="4" t="s">
        <v>22</v>
      </c>
      <c r="D29" s="78" t="s">
        <v>487</v>
      </c>
      <c r="E29" s="53">
        <v>2</v>
      </c>
      <c r="F29" s="11">
        <f>SUM(DistMeetingQuota[[#This Row],[Sep]:[Feb]])</f>
        <v>2</v>
      </c>
      <c r="G29" s="11">
        <f>DistMeetingQuota[[#This Row],[Quota]]-DistMeetingQuota[[#This Row],[Actual]]</f>
        <v>0</v>
      </c>
      <c r="H29" s="12">
        <f>DistMeetingQuota[[#This Row],[Actual]]/DistMeetingQuota[[#This Row],[Quota]]</f>
        <v>1</v>
      </c>
      <c r="I29" s="4"/>
      <c r="J29" s="2">
        <v>2</v>
      </c>
      <c r="K29" s="2"/>
      <c r="L29" s="2"/>
      <c r="M29" s="2"/>
      <c r="N29" s="2"/>
      <c r="O29" s="2"/>
      <c r="P29" s="4" t="s">
        <v>10</v>
      </c>
      <c r="Q29" s="2"/>
    </row>
    <row r="30" spans="1:17" s="109" customFormat="1" ht="30">
      <c r="A30" s="4">
        <v>2010188</v>
      </c>
      <c r="B30" s="5" t="s">
        <v>32</v>
      </c>
      <c r="C30" s="4" t="s">
        <v>22</v>
      </c>
      <c r="D30" s="4" t="s">
        <v>13</v>
      </c>
      <c r="E30" s="53">
        <v>3</v>
      </c>
      <c r="F30" s="11">
        <f>SUM(DistMeetingQuota[[#This Row],[Sep]:[Feb]])</f>
        <v>0</v>
      </c>
      <c r="G30" s="11">
        <f>DistMeetingQuota[[#This Row],[Quota]]-DistMeetingQuota[[#This Row],[Actual]]</f>
        <v>3</v>
      </c>
      <c r="H30" s="12">
        <f>DistMeetingQuota[[#This Row],[Actual]]/DistMeetingQuota[[#This Row],[Quota]]</f>
        <v>0</v>
      </c>
      <c r="I30" s="4"/>
      <c r="J30" s="2"/>
      <c r="K30" s="2"/>
      <c r="L30" s="2"/>
      <c r="M30" s="2"/>
      <c r="N30" s="2"/>
      <c r="O30" s="2"/>
      <c r="P30" s="4" t="s">
        <v>14</v>
      </c>
      <c r="Q30" s="2"/>
    </row>
    <row r="31" spans="1:17" s="109" customFormat="1" ht="30">
      <c r="A31" s="4">
        <v>2010188</v>
      </c>
      <c r="B31" s="5" t="s">
        <v>32</v>
      </c>
      <c r="C31" s="4" t="s">
        <v>22</v>
      </c>
      <c r="D31" s="4" t="s">
        <v>487</v>
      </c>
      <c r="E31" s="53">
        <v>2</v>
      </c>
      <c r="F31" s="11">
        <f>SUM(DistMeetingQuota[[#This Row],[Sep]:[Feb]])</f>
        <v>2</v>
      </c>
      <c r="G31" s="11">
        <f>DistMeetingQuota[[#This Row],[Quota]]-DistMeetingQuota[[#This Row],[Actual]]</f>
        <v>0</v>
      </c>
      <c r="H31" s="12">
        <f>DistMeetingQuota[[#This Row],[Actual]]/DistMeetingQuota[[#This Row],[Quota]]</f>
        <v>1</v>
      </c>
      <c r="I31" s="4"/>
      <c r="J31" s="2"/>
      <c r="K31" s="2"/>
      <c r="L31" s="2"/>
      <c r="M31" s="2"/>
      <c r="N31" s="2">
        <v>2</v>
      </c>
      <c r="O31" s="2"/>
      <c r="P31" s="4" t="s">
        <v>14</v>
      </c>
      <c r="Q31" s="2"/>
    </row>
    <row r="32" spans="1:17" s="109" customFormat="1" ht="30">
      <c r="A32" s="4">
        <v>2021360</v>
      </c>
      <c r="B32" s="5" t="s">
        <v>35</v>
      </c>
      <c r="C32" s="4" t="s">
        <v>21</v>
      </c>
      <c r="D32" s="4" t="s">
        <v>13</v>
      </c>
      <c r="E32" s="53">
        <v>2</v>
      </c>
      <c r="F32" s="11">
        <f>SUM(DistMeetingQuota[[#This Row],[Sep]:[Feb]])</f>
        <v>0</v>
      </c>
      <c r="G32" s="11">
        <f>DistMeetingQuota[[#This Row],[Quota]]-DistMeetingQuota[[#This Row],[Actual]]</f>
        <v>2</v>
      </c>
      <c r="H32" s="12">
        <f>DistMeetingQuota[[#This Row],[Actual]]/DistMeetingQuota[[#This Row],[Quota]]</f>
        <v>0</v>
      </c>
      <c r="I32" s="4"/>
      <c r="J32" s="2"/>
      <c r="K32" s="2"/>
      <c r="L32" s="2"/>
      <c r="M32" s="2"/>
      <c r="N32" s="2"/>
      <c r="O32" s="2"/>
      <c r="P32" s="4" t="s">
        <v>14</v>
      </c>
      <c r="Q32" s="2"/>
    </row>
    <row r="33" spans="1:17" s="109" customFormat="1" ht="30">
      <c r="A33" s="4">
        <v>2021360</v>
      </c>
      <c r="B33" s="5" t="s">
        <v>35</v>
      </c>
      <c r="C33" s="4" t="s">
        <v>21</v>
      </c>
      <c r="D33" s="78" t="s">
        <v>11</v>
      </c>
      <c r="E33" s="53">
        <v>3</v>
      </c>
      <c r="F33" s="11">
        <f>SUM(DistMeetingQuota[[#This Row],[Sep]:[Feb]])</f>
        <v>3</v>
      </c>
      <c r="G33" s="11">
        <f>DistMeetingQuota[[#This Row],[Quota]]-DistMeetingQuota[[#This Row],[Actual]]</f>
        <v>0</v>
      </c>
      <c r="H33" s="12">
        <f>DistMeetingQuota[[#This Row],[Actual]]/DistMeetingQuota[[#This Row],[Quota]]</f>
        <v>1</v>
      </c>
      <c r="I33" s="4">
        <v>3</v>
      </c>
      <c r="J33" s="2"/>
      <c r="K33" s="2"/>
      <c r="L33" s="2"/>
      <c r="M33" s="2"/>
      <c r="N33" s="2"/>
      <c r="O33" s="2"/>
      <c r="P33" s="4" t="s">
        <v>14</v>
      </c>
      <c r="Q33" s="2"/>
    </row>
    <row r="34" spans="1:17" s="154" customFormat="1" ht="30">
      <c r="A34" s="147">
        <v>2009526</v>
      </c>
      <c r="B34" s="148" t="s">
        <v>84</v>
      </c>
      <c r="C34" s="147" t="s">
        <v>22</v>
      </c>
      <c r="D34" s="147" t="s">
        <v>487</v>
      </c>
      <c r="E34" s="150">
        <v>2</v>
      </c>
      <c r="F34" s="157">
        <f>SUM(DistMeetingQuota[[#This Row],[Sep]:[Feb]])</f>
        <v>1</v>
      </c>
      <c r="G34" s="157">
        <f>DistMeetingQuota[[#This Row],[Quota]]-DistMeetingQuota[[#This Row],[Actual]]</f>
        <v>1</v>
      </c>
      <c r="H34" s="151">
        <f>DistMeetingQuota[[#This Row],[Actual]]/DistMeetingQuota[[#This Row],[Quota]]</f>
        <v>0.5</v>
      </c>
      <c r="I34" s="147"/>
      <c r="J34" s="152"/>
      <c r="K34" s="152"/>
      <c r="L34" s="152">
        <v>1</v>
      </c>
      <c r="M34" s="152"/>
      <c r="N34" s="152"/>
      <c r="O34" s="147" t="s">
        <v>1089</v>
      </c>
      <c r="P34" s="147" t="s">
        <v>10</v>
      </c>
      <c r="Q34" s="152"/>
    </row>
    <row r="35" spans="1:17" s="109" customFormat="1" ht="30">
      <c r="A35" s="4">
        <v>2009526</v>
      </c>
      <c r="B35" s="5" t="s">
        <v>84</v>
      </c>
      <c r="C35" s="4" t="s">
        <v>22</v>
      </c>
      <c r="D35" s="78" t="s">
        <v>13</v>
      </c>
      <c r="E35" s="53">
        <v>3</v>
      </c>
      <c r="F35" s="11">
        <f>SUM(DistMeetingQuota[[#This Row],[Sep]:[Feb]])</f>
        <v>0</v>
      </c>
      <c r="G35" s="11">
        <f>DistMeetingQuota[[#This Row],[Quota]]-DistMeetingQuota[[#This Row],[Actual]]</f>
        <v>3</v>
      </c>
      <c r="H35" s="12">
        <f>DistMeetingQuota[[#This Row],[Actual]]/DistMeetingQuota[[#This Row],[Quota]]</f>
        <v>0</v>
      </c>
      <c r="I35" s="4"/>
      <c r="J35" s="2"/>
      <c r="K35" s="2"/>
      <c r="L35" s="2"/>
      <c r="M35" s="2"/>
      <c r="N35" s="2"/>
      <c r="O35" s="2"/>
      <c r="P35" s="4" t="s">
        <v>10</v>
      </c>
      <c r="Q35" s="2"/>
    </row>
    <row r="36" spans="1:17" s="109" customFormat="1" ht="30">
      <c r="A36" s="4">
        <v>2009000</v>
      </c>
      <c r="B36" s="5" t="s">
        <v>30</v>
      </c>
      <c r="C36" s="4" t="s">
        <v>25</v>
      </c>
      <c r="D36" s="4" t="s">
        <v>13</v>
      </c>
      <c r="E36" s="53">
        <v>2</v>
      </c>
      <c r="F36" s="11">
        <f>SUM(DistMeetingQuota[[#This Row],[Sep]:[Feb]])</f>
        <v>0</v>
      </c>
      <c r="G36" s="11">
        <f>DistMeetingQuota[[#This Row],[Quota]]-DistMeetingQuota[[#This Row],[Actual]]</f>
        <v>2</v>
      </c>
      <c r="H36" s="12">
        <f>DistMeetingQuota[[#This Row],[Actual]]/DistMeetingQuota[[#This Row],[Quota]]</f>
        <v>0</v>
      </c>
      <c r="I36" s="4"/>
      <c r="J36" s="2"/>
      <c r="K36" s="2"/>
      <c r="L36" s="2"/>
      <c r="M36" s="2"/>
      <c r="N36" s="2"/>
      <c r="O36" s="2"/>
      <c r="P36" s="4" t="s">
        <v>10</v>
      </c>
      <c r="Q36" s="2"/>
    </row>
    <row r="37" spans="1:17" s="109" customFormat="1" ht="30">
      <c r="A37" s="4">
        <v>2009000</v>
      </c>
      <c r="B37" s="5" t="s">
        <v>30</v>
      </c>
      <c r="C37" s="4" t="s">
        <v>25</v>
      </c>
      <c r="D37" s="78" t="s">
        <v>11</v>
      </c>
      <c r="E37" s="53">
        <v>3</v>
      </c>
      <c r="F37" s="11">
        <f>SUM(DistMeetingQuota[[#This Row],[Sep]:[Feb]])</f>
        <v>3</v>
      </c>
      <c r="G37" s="11">
        <f>DistMeetingQuota[[#This Row],[Quota]]-DistMeetingQuota[[#This Row],[Actual]]</f>
        <v>0</v>
      </c>
      <c r="H37" s="12">
        <f>DistMeetingQuota[[#This Row],[Actual]]/DistMeetingQuota[[#This Row],[Quota]]</f>
        <v>1</v>
      </c>
      <c r="I37" s="4">
        <v>3</v>
      </c>
      <c r="J37" s="2"/>
      <c r="K37" s="2"/>
      <c r="L37" s="2"/>
      <c r="M37" s="2"/>
      <c r="N37" s="2"/>
      <c r="O37" s="2"/>
      <c r="P37" s="4" t="s">
        <v>10</v>
      </c>
      <c r="Q37" s="2"/>
    </row>
    <row r="38" spans="1:17" s="109" customFormat="1" ht="30">
      <c r="A38" s="147">
        <v>2026368</v>
      </c>
      <c r="B38" s="148" t="s">
        <v>34</v>
      </c>
      <c r="C38" s="147" t="s">
        <v>22</v>
      </c>
      <c r="D38" s="147" t="s">
        <v>11</v>
      </c>
      <c r="E38" s="150">
        <v>2</v>
      </c>
      <c r="F38" s="157">
        <f>SUM(DistMeetingQuota[[#This Row],[Sep]:[Feb]])</f>
        <v>2</v>
      </c>
      <c r="G38" s="157">
        <f>DistMeetingQuota[[#This Row],[Quota]]-DistMeetingQuota[[#This Row],[Actual]]</f>
        <v>0</v>
      </c>
      <c r="H38" s="151">
        <f>DistMeetingQuota[[#This Row],[Actual]]/DistMeetingQuota[[#This Row],[Quota]]</f>
        <v>1</v>
      </c>
      <c r="I38" s="147"/>
      <c r="J38" s="152"/>
      <c r="K38" s="152">
        <v>2</v>
      </c>
      <c r="L38" s="152"/>
      <c r="M38" s="152"/>
      <c r="N38" s="152"/>
      <c r="O38" s="152" t="s">
        <v>1062</v>
      </c>
      <c r="P38" s="147" t="s">
        <v>10</v>
      </c>
      <c r="Q38" s="152"/>
    </row>
    <row r="39" spans="1:17" s="109" customFormat="1" ht="30">
      <c r="A39" s="147">
        <v>2026368</v>
      </c>
      <c r="B39" s="148" t="s">
        <v>34</v>
      </c>
      <c r="C39" s="147" t="s">
        <v>22</v>
      </c>
      <c r="D39" s="147" t="s">
        <v>11</v>
      </c>
      <c r="E39" s="150">
        <v>4</v>
      </c>
      <c r="F39" s="157">
        <f>SUM(DistMeetingQuota[[#This Row],[Sep]:[Feb]])</f>
        <v>2</v>
      </c>
      <c r="G39" s="157">
        <f>DistMeetingQuota[[#This Row],[Quota]]-DistMeetingQuota[[#This Row],[Actual]]</f>
        <v>2</v>
      </c>
      <c r="H39" s="151">
        <f>DistMeetingQuota[[#This Row],[Actual]]/DistMeetingQuota[[#This Row],[Quota]]</f>
        <v>0.5</v>
      </c>
      <c r="I39" s="147"/>
      <c r="J39" s="152">
        <v>2</v>
      </c>
      <c r="K39" s="152"/>
      <c r="L39" s="152"/>
      <c r="M39" s="152"/>
      <c r="N39" s="152"/>
      <c r="O39" s="152" t="s">
        <v>978</v>
      </c>
      <c r="P39" s="147" t="s">
        <v>10</v>
      </c>
      <c r="Q39" s="152"/>
    </row>
    <row r="40" spans="1:17" s="109" customFormat="1" ht="30">
      <c r="A40" s="4">
        <v>2026368</v>
      </c>
      <c r="B40" s="5" t="s">
        <v>34</v>
      </c>
      <c r="C40" s="140" t="s">
        <v>22</v>
      </c>
      <c r="D40" s="4" t="s">
        <v>13</v>
      </c>
      <c r="E40" s="53">
        <v>2</v>
      </c>
      <c r="F40" s="11">
        <f>SUM(DistMeetingQuota[[#This Row],[Sep]:[Feb]])</f>
        <v>0</v>
      </c>
      <c r="G40" s="11">
        <f>DistMeetingQuota[[#This Row],[Quota]]-DistMeetingQuota[[#This Row],[Actual]]</f>
        <v>2</v>
      </c>
      <c r="H40" s="12">
        <f>DistMeetingQuota[[#This Row],[Actual]]/DistMeetingQuota[[#This Row],[Quota]]</f>
        <v>0</v>
      </c>
      <c r="I40" s="4"/>
      <c r="J40" s="2"/>
      <c r="K40" s="2"/>
      <c r="L40" s="2"/>
      <c r="M40" s="2"/>
      <c r="N40" s="2"/>
      <c r="O40" s="2"/>
      <c r="P40" s="4" t="s">
        <v>10</v>
      </c>
      <c r="Q40" s="2"/>
    </row>
    <row r="41" spans="1:17" s="154" customFormat="1" ht="30">
      <c r="A41" s="147">
        <v>2026368</v>
      </c>
      <c r="B41" s="148" t="s">
        <v>34</v>
      </c>
      <c r="C41" s="147" t="s">
        <v>22</v>
      </c>
      <c r="D41" s="147" t="s">
        <v>487</v>
      </c>
      <c r="E41" s="150">
        <v>2</v>
      </c>
      <c r="F41" s="157">
        <f>SUM(DistMeetingQuota[[#This Row],[Sep]:[Feb]])</f>
        <v>2</v>
      </c>
      <c r="G41" s="157">
        <f>DistMeetingQuota[[#This Row],[Quota]]-DistMeetingQuota[[#This Row],[Actual]]</f>
        <v>0</v>
      </c>
      <c r="H41" s="151">
        <f>DistMeetingQuota[[#This Row],[Actual]]/DistMeetingQuota[[#This Row],[Quota]]</f>
        <v>1</v>
      </c>
      <c r="I41" s="147"/>
      <c r="J41" s="152"/>
      <c r="K41" s="152">
        <v>2</v>
      </c>
      <c r="L41" s="152"/>
      <c r="M41" s="152"/>
      <c r="N41" s="152"/>
      <c r="O41" s="152" t="s">
        <v>1050</v>
      </c>
      <c r="P41" s="147" t="s">
        <v>10</v>
      </c>
      <c r="Q41" s="152"/>
    </row>
    <row r="42" spans="1:17" s="109" customFormat="1" ht="30">
      <c r="A42" s="4">
        <v>2013669</v>
      </c>
      <c r="B42" s="5" t="s">
        <v>85</v>
      </c>
      <c r="C42" s="4" t="s">
        <v>22</v>
      </c>
      <c r="D42" s="4" t="s">
        <v>13</v>
      </c>
      <c r="E42" s="53">
        <v>3</v>
      </c>
      <c r="F42" s="11">
        <f>SUM(DistMeetingQuota[[#This Row],[Sep]:[Feb]])</f>
        <v>3</v>
      </c>
      <c r="G42" s="11">
        <f>DistMeetingQuota[[#This Row],[Quota]]-DistMeetingQuota[[#This Row],[Actual]]</f>
        <v>0</v>
      </c>
      <c r="H42" s="12">
        <f>DistMeetingQuota[[#This Row],[Actual]]/DistMeetingQuota[[#This Row],[Quota]]</f>
        <v>1</v>
      </c>
      <c r="I42" s="4"/>
      <c r="J42" s="2"/>
      <c r="K42" s="2">
        <v>1</v>
      </c>
      <c r="L42" s="2">
        <v>1</v>
      </c>
      <c r="M42" s="2">
        <v>1</v>
      </c>
      <c r="N42" s="2"/>
      <c r="O42" s="2"/>
      <c r="P42" s="4" t="s">
        <v>14</v>
      </c>
      <c r="Q42" s="2"/>
    </row>
    <row r="43" spans="1:17" s="109" customFormat="1" ht="30">
      <c r="A43" s="4">
        <v>2013669</v>
      </c>
      <c r="B43" s="5" t="s">
        <v>85</v>
      </c>
      <c r="C43" s="4" t="s">
        <v>22</v>
      </c>
      <c r="D43" s="4" t="s">
        <v>487</v>
      </c>
      <c r="E43" s="53">
        <v>2</v>
      </c>
      <c r="F43" s="11">
        <f>SUM(DistMeetingQuota[[#This Row],[Sep]:[Feb]])</f>
        <v>2</v>
      </c>
      <c r="G43" s="11">
        <f>DistMeetingQuota[[#This Row],[Quota]]-DistMeetingQuota[[#This Row],[Actual]]</f>
        <v>0</v>
      </c>
      <c r="H43" s="12">
        <f>DistMeetingQuota[[#This Row],[Actual]]/DistMeetingQuota[[#This Row],[Quota]]</f>
        <v>1</v>
      </c>
      <c r="I43" s="4"/>
      <c r="J43" s="2"/>
      <c r="K43" s="2">
        <v>1</v>
      </c>
      <c r="L43" s="2"/>
      <c r="M43" s="2">
        <v>1</v>
      </c>
      <c r="N43" s="2"/>
      <c r="O43" s="2"/>
      <c r="P43" s="4" t="s">
        <v>14</v>
      </c>
      <c r="Q43" s="2"/>
    </row>
    <row r="44" spans="1:17" s="109" customFormat="1" ht="30">
      <c r="A44" s="4">
        <v>2013669</v>
      </c>
      <c r="B44" s="5" t="s">
        <v>85</v>
      </c>
      <c r="C44" s="4" t="s">
        <v>93</v>
      </c>
      <c r="D44" s="78" t="s">
        <v>11</v>
      </c>
      <c r="E44" s="53">
        <v>3</v>
      </c>
      <c r="F44" s="11">
        <f>SUM(DistMeetingQuota[[#This Row],[Sep]:[Feb]])</f>
        <v>2</v>
      </c>
      <c r="G44" s="11">
        <f>DistMeetingQuota[[#This Row],[Quota]]-DistMeetingQuota[[#This Row],[Actual]]</f>
        <v>1</v>
      </c>
      <c r="H44" s="12">
        <f>DistMeetingQuota[[#This Row],[Actual]]/DistMeetingQuota[[#This Row],[Quota]]</f>
        <v>0.66666666666666663</v>
      </c>
      <c r="I44" s="4">
        <v>2</v>
      </c>
      <c r="J44" s="2"/>
      <c r="K44" s="2"/>
      <c r="L44" s="2"/>
      <c r="M44" s="2"/>
      <c r="N44" s="2"/>
      <c r="O44" s="2"/>
      <c r="P44" s="4" t="s">
        <v>14</v>
      </c>
      <c r="Q44" s="2"/>
    </row>
    <row r="45" spans="1:17" s="109" customFormat="1" ht="30">
      <c r="A45" s="4">
        <v>2010467</v>
      </c>
      <c r="B45" s="5" t="s">
        <v>86</v>
      </c>
      <c r="C45" s="4" t="s">
        <v>93</v>
      </c>
      <c r="D45" s="4" t="s">
        <v>13</v>
      </c>
      <c r="E45" s="53">
        <v>2</v>
      </c>
      <c r="F45" s="11">
        <f>SUM(DistMeetingQuota[[#This Row],[Sep]:[Feb]])</f>
        <v>0</v>
      </c>
      <c r="G45" s="11">
        <f>DistMeetingQuota[[#This Row],[Quota]]-DistMeetingQuota[[#This Row],[Actual]]</f>
        <v>2</v>
      </c>
      <c r="H45" s="12">
        <f>DistMeetingQuota[[#This Row],[Actual]]/DistMeetingQuota[[#This Row],[Quota]]</f>
        <v>0</v>
      </c>
      <c r="I45" s="4"/>
      <c r="J45" s="2"/>
      <c r="K45" s="2"/>
      <c r="L45" s="2"/>
      <c r="M45" s="2"/>
      <c r="N45" s="2"/>
      <c r="O45" s="2"/>
      <c r="P45" s="4" t="s">
        <v>14</v>
      </c>
      <c r="Q45" s="2"/>
    </row>
    <row r="46" spans="1:17" s="109" customFormat="1" ht="30">
      <c r="A46" s="4">
        <v>2010467</v>
      </c>
      <c r="B46" s="5" t="s">
        <v>86</v>
      </c>
      <c r="C46" s="4" t="s">
        <v>93</v>
      </c>
      <c r="D46" s="78" t="s">
        <v>11</v>
      </c>
      <c r="E46" s="53">
        <v>3</v>
      </c>
      <c r="F46" s="11">
        <f>SUM(DistMeetingQuota[[#This Row],[Sep]:[Feb]])</f>
        <v>3</v>
      </c>
      <c r="G46" s="11">
        <f>DistMeetingQuota[[#This Row],[Quota]]-DistMeetingQuota[[#This Row],[Actual]]</f>
        <v>0</v>
      </c>
      <c r="H46" s="12">
        <f>DistMeetingQuota[[#This Row],[Actual]]/DistMeetingQuota[[#This Row],[Quota]]</f>
        <v>1</v>
      </c>
      <c r="I46" s="4">
        <v>1</v>
      </c>
      <c r="J46" s="2"/>
      <c r="K46" s="2"/>
      <c r="L46" s="2"/>
      <c r="M46" s="2">
        <v>2</v>
      </c>
      <c r="N46" s="2"/>
      <c r="O46" s="2"/>
      <c r="P46" s="4" t="s">
        <v>14</v>
      </c>
      <c r="Q46" s="2"/>
    </row>
    <row r="47" spans="1:17" s="109" customFormat="1" ht="30">
      <c r="A47" s="4">
        <v>2019782</v>
      </c>
      <c r="B47" s="5" t="s">
        <v>29</v>
      </c>
      <c r="C47" s="4" t="s">
        <v>93</v>
      </c>
      <c r="D47" s="4" t="s">
        <v>13</v>
      </c>
      <c r="E47" s="53">
        <v>2</v>
      </c>
      <c r="F47" s="11">
        <f>SUM(DistMeetingQuota[[#This Row],[Sep]:[Feb]])</f>
        <v>0</v>
      </c>
      <c r="G47" s="11">
        <f>DistMeetingQuota[[#This Row],[Quota]]-DistMeetingQuota[[#This Row],[Actual]]</f>
        <v>2</v>
      </c>
      <c r="H47" s="12">
        <f>DistMeetingQuota[[#This Row],[Actual]]/DistMeetingQuota[[#This Row],[Quota]]</f>
        <v>0</v>
      </c>
      <c r="I47" s="4"/>
      <c r="J47" s="2"/>
      <c r="K47" s="2"/>
      <c r="L47" s="2"/>
      <c r="M47" s="2"/>
      <c r="N47" s="2"/>
      <c r="O47" s="2"/>
      <c r="P47" s="4" t="s">
        <v>14</v>
      </c>
      <c r="Q47" s="2"/>
    </row>
    <row r="48" spans="1:17" s="109" customFormat="1" ht="30">
      <c r="A48" s="4">
        <v>2019782</v>
      </c>
      <c r="B48" s="5" t="s">
        <v>29</v>
      </c>
      <c r="C48" s="4" t="s">
        <v>93</v>
      </c>
      <c r="D48" s="78" t="s">
        <v>11</v>
      </c>
      <c r="E48" s="53">
        <v>3</v>
      </c>
      <c r="F48" s="11">
        <f>SUM(DistMeetingQuota[[#This Row],[Sep]:[Feb]])</f>
        <v>0</v>
      </c>
      <c r="G48" s="11">
        <f>DistMeetingQuota[[#This Row],[Quota]]-DistMeetingQuota[[#This Row],[Actual]]</f>
        <v>3</v>
      </c>
      <c r="H48" s="12">
        <f>DistMeetingQuota[[#This Row],[Actual]]/DistMeetingQuota[[#This Row],[Quota]]</f>
        <v>0</v>
      </c>
      <c r="I48" s="4"/>
      <c r="J48" s="2"/>
      <c r="K48" s="2"/>
      <c r="L48" s="2"/>
      <c r="M48" s="2"/>
      <c r="N48" s="2"/>
      <c r="O48" s="2"/>
      <c r="P48" s="4" t="s">
        <v>14</v>
      </c>
      <c r="Q48" s="2"/>
    </row>
    <row r="49" spans="1:17" s="109" customFormat="1" ht="30">
      <c r="A49" s="4">
        <v>2021296</v>
      </c>
      <c r="B49" s="5" t="s">
        <v>87</v>
      </c>
      <c r="C49" s="4" t="s">
        <v>489</v>
      </c>
      <c r="D49" s="4" t="s">
        <v>13</v>
      </c>
      <c r="E49" s="53">
        <v>3</v>
      </c>
      <c r="F49" s="11">
        <f>SUM(DistMeetingQuota[[#This Row],[Sep]:[Feb]])</f>
        <v>3</v>
      </c>
      <c r="G49" s="11">
        <f>DistMeetingQuota[[#This Row],[Quota]]-DistMeetingQuota[[#This Row],[Actual]]</f>
        <v>0</v>
      </c>
      <c r="H49" s="12">
        <f>DistMeetingQuota[[#This Row],[Actual]]/DistMeetingQuota[[#This Row],[Quota]]</f>
        <v>1</v>
      </c>
      <c r="I49" s="4"/>
      <c r="J49" s="2"/>
      <c r="K49" s="2"/>
      <c r="L49" s="2"/>
      <c r="M49" s="2"/>
      <c r="N49" s="2">
        <v>3</v>
      </c>
      <c r="O49" s="2"/>
      <c r="P49" s="4" t="s">
        <v>14</v>
      </c>
      <c r="Q49" s="2"/>
    </row>
    <row r="50" spans="1:17" s="109" customFormat="1" ht="30">
      <c r="A50" s="4">
        <v>2021296</v>
      </c>
      <c r="B50" s="138" t="s">
        <v>87</v>
      </c>
      <c r="C50" s="4" t="s">
        <v>489</v>
      </c>
      <c r="D50" s="4" t="s">
        <v>487</v>
      </c>
      <c r="E50" s="53">
        <v>2</v>
      </c>
      <c r="F50" s="11">
        <f>SUM(DistMeetingQuota[[#This Row],[Sep]:[Feb]])</f>
        <v>2</v>
      </c>
      <c r="G50" s="11">
        <f>DistMeetingQuota[[#This Row],[Quota]]-DistMeetingQuota[[#This Row],[Actual]]</f>
        <v>0</v>
      </c>
      <c r="H50" s="12">
        <f>DistMeetingQuota[[#This Row],[Actual]]/DistMeetingQuota[[#This Row],[Quota]]</f>
        <v>1</v>
      </c>
      <c r="I50" s="4"/>
      <c r="J50" s="2">
        <v>2</v>
      </c>
      <c r="K50" s="2"/>
      <c r="L50" s="2"/>
      <c r="M50" s="2"/>
      <c r="N50" s="2"/>
      <c r="O50" s="2"/>
      <c r="P50" s="4" t="s">
        <v>14</v>
      </c>
      <c r="Q50" s="2"/>
    </row>
    <row r="51" spans="1:17" s="109" customFormat="1" ht="30">
      <c r="A51" s="4">
        <v>2018869</v>
      </c>
      <c r="B51" s="5" t="s">
        <v>31</v>
      </c>
      <c r="C51" s="4" t="s">
        <v>21</v>
      </c>
      <c r="D51" s="4" t="s">
        <v>13</v>
      </c>
      <c r="E51" s="53">
        <v>2</v>
      </c>
      <c r="F51" s="11">
        <f>SUM(DistMeetingQuota[[#This Row],[Sep]:[Feb]])</f>
        <v>0</v>
      </c>
      <c r="G51" s="11">
        <f>DistMeetingQuota[[#This Row],[Quota]]-DistMeetingQuota[[#This Row],[Actual]]</f>
        <v>2</v>
      </c>
      <c r="H51" s="12">
        <f>DistMeetingQuota[[#This Row],[Actual]]/DistMeetingQuota[[#This Row],[Quota]]</f>
        <v>0</v>
      </c>
      <c r="I51" s="4"/>
      <c r="J51" s="2"/>
      <c r="K51" s="2"/>
      <c r="L51" s="2"/>
      <c r="M51" s="2"/>
      <c r="N51" s="2"/>
      <c r="O51" s="2"/>
      <c r="P51" s="4" t="s">
        <v>14</v>
      </c>
      <c r="Q51" s="2"/>
    </row>
    <row r="52" spans="1:17" s="109" customFormat="1" ht="30">
      <c r="A52" s="4">
        <v>2018869</v>
      </c>
      <c r="B52" s="5" t="s">
        <v>31</v>
      </c>
      <c r="C52" s="4" t="s">
        <v>93</v>
      </c>
      <c r="D52" s="78" t="s">
        <v>11</v>
      </c>
      <c r="E52" s="53">
        <v>3</v>
      </c>
      <c r="F52" s="11">
        <f>SUM(DistMeetingQuota[[#This Row],[Sep]:[Feb]])</f>
        <v>0</v>
      </c>
      <c r="G52" s="11">
        <f>DistMeetingQuota[[#This Row],[Quota]]-DistMeetingQuota[[#This Row],[Actual]]</f>
        <v>3</v>
      </c>
      <c r="H52" s="12">
        <f>DistMeetingQuota[[#This Row],[Actual]]/DistMeetingQuota[[#This Row],[Quota]]</f>
        <v>0</v>
      </c>
      <c r="I52" s="4"/>
      <c r="J52" s="2"/>
      <c r="K52" s="2"/>
      <c r="L52" s="2"/>
      <c r="M52" s="2"/>
      <c r="N52" s="2"/>
      <c r="O52" s="2"/>
      <c r="P52" s="4" t="s">
        <v>14</v>
      </c>
      <c r="Q52" s="2"/>
    </row>
    <row r="53" spans="1:17" s="109" customFormat="1" ht="30">
      <c r="A53" s="4">
        <v>2015112</v>
      </c>
      <c r="B53" s="5" t="s">
        <v>88</v>
      </c>
      <c r="C53" s="4" t="s">
        <v>93</v>
      </c>
      <c r="D53" s="4" t="s">
        <v>13</v>
      </c>
      <c r="E53" s="53">
        <v>2</v>
      </c>
      <c r="F53" s="11">
        <f>SUM(DistMeetingQuota[[#This Row],[Sep]:[Feb]])</f>
        <v>2</v>
      </c>
      <c r="G53" s="11">
        <f>DistMeetingQuota[[#This Row],[Quota]]-DistMeetingQuota[[#This Row],[Actual]]</f>
        <v>0</v>
      </c>
      <c r="H53" s="12">
        <f>DistMeetingQuota[[#This Row],[Actual]]/DistMeetingQuota[[#This Row],[Quota]]</f>
        <v>1</v>
      </c>
      <c r="I53" s="4"/>
      <c r="J53" s="2">
        <v>2</v>
      </c>
      <c r="K53" s="2"/>
      <c r="L53" s="2"/>
      <c r="M53" s="2"/>
      <c r="N53" s="2"/>
      <c r="O53" s="2"/>
      <c r="P53" s="4" t="s">
        <v>14</v>
      </c>
      <c r="Q53" s="2"/>
    </row>
    <row r="54" spans="1:17" s="109" customFormat="1" ht="30">
      <c r="A54" s="4">
        <v>2015112</v>
      </c>
      <c r="B54" s="5" t="s">
        <v>88</v>
      </c>
      <c r="C54" s="4" t="s">
        <v>93</v>
      </c>
      <c r="D54" s="78" t="s">
        <v>11</v>
      </c>
      <c r="E54" s="53">
        <v>3</v>
      </c>
      <c r="F54" s="11">
        <f>SUM(DistMeetingQuota[[#This Row],[Sep]:[Feb]])</f>
        <v>2</v>
      </c>
      <c r="G54" s="11">
        <f>DistMeetingQuota[[#This Row],[Quota]]-DistMeetingQuota[[#This Row],[Actual]]</f>
        <v>1</v>
      </c>
      <c r="H54" s="12">
        <f>DistMeetingQuota[[#This Row],[Actual]]/DistMeetingQuota[[#This Row],[Quota]]</f>
        <v>0.66666666666666663</v>
      </c>
      <c r="I54" s="4"/>
      <c r="J54" s="2"/>
      <c r="K54" s="2"/>
      <c r="L54" s="2">
        <v>2</v>
      </c>
      <c r="M54" s="2"/>
      <c r="N54" s="2"/>
      <c r="O54" s="2"/>
      <c r="P54" s="4" t="s">
        <v>14</v>
      </c>
      <c r="Q54" s="2"/>
    </row>
    <row r="55" spans="1:17" s="109" customFormat="1">
      <c r="A55" s="4">
        <v>2037950</v>
      </c>
      <c r="B55" s="138" t="s">
        <v>3</v>
      </c>
      <c r="C55" s="4" t="s">
        <v>93</v>
      </c>
      <c r="D55" s="4" t="s">
        <v>13</v>
      </c>
      <c r="E55" s="53">
        <v>2</v>
      </c>
      <c r="F55" s="11">
        <f>SUM(DistMeetingQuota[[#This Row],[Sep]:[Feb]])</f>
        <v>0</v>
      </c>
      <c r="G55" s="11">
        <f>DistMeetingQuota[[#This Row],[Quota]]-DistMeetingQuota[[#This Row],[Actual]]</f>
        <v>2</v>
      </c>
      <c r="H55" s="12">
        <f>DistMeetingQuota[[#This Row],[Actual]]/DistMeetingQuota[[#This Row],[Quota]]</f>
        <v>0</v>
      </c>
      <c r="I55" s="4"/>
      <c r="J55" s="2"/>
      <c r="K55" s="2"/>
      <c r="L55" s="2"/>
      <c r="M55" s="2"/>
      <c r="N55" s="2"/>
      <c r="O55" s="2"/>
      <c r="P55" s="4" t="s">
        <v>4</v>
      </c>
      <c r="Q55" s="2"/>
    </row>
    <row r="56" spans="1:17" s="109" customFormat="1">
      <c r="A56" s="147">
        <v>2037950</v>
      </c>
      <c r="B56" s="148" t="s">
        <v>3</v>
      </c>
      <c r="C56" s="147" t="s">
        <v>93</v>
      </c>
      <c r="D56" s="149" t="s">
        <v>11</v>
      </c>
      <c r="E56" s="150">
        <v>3</v>
      </c>
      <c r="F56" s="157">
        <f>SUM(DistMeetingQuota[[#This Row],[Sep]:[Feb]])</f>
        <v>3</v>
      </c>
      <c r="G56" s="157">
        <f>DistMeetingQuota[[#This Row],[Quota]]-DistMeetingQuota[[#This Row],[Actual]]</f>
        <v>0</v>
      </c>
      <c r="H56" s="151">
        <f>DistMeetingQuota[[#This Row],[Actual]]/DistMeetingQuota[[#This Row],[Quota]]</f>
        <v>1</v>
      </c>
      <c r="I56" s="147">
        <v>2</v>
      </c>
      <c r="J56" s="152"/>
      <c r="K56" s="152">
        <v>1</v>
      </c>
      <c r="L56" s="152"/>
      <c r="M56" s="152"/>
      <c r="N56" s="152"/>
      <c r="O56" s="152"/>
      <c r="P56" s="147" t="s">
        <v>4</v>
      </c>
      <c r="Q56" s="152"/>
    </row>
    <row r="57" spans="1:17" s="109" customFormat="1">
      <c r="A57" s="4">
        <v>2037941</v>
      </c>
      <c r="B57" s="138" t="s">
        <v>38</v>
      </c>
      <c r="C57" s="4" t="s">
        <v>93</v>
      </c>
      <c r="D57" s="4" t="s">
        <v>13</v>
      </c>
      <c r="E57" s="53">
        <v>2</v>
      </c>
      <c r="F57" s="11">
        <f>SUM(DistMeetingQuota[[#This Row],[Sep]:[Feb]])</f>
        <v>2</v>
      </c>
      <c r="G57" s="11">
        <f>DistMeetingQuota[[#This Row],[Quota]]-DistMeetingQuota[[#This Row],[Actual]]</f>
        <v>0</v>
      </c>
      <c r="H57" s="12">
        <f>DistMeetingQuota[[#This Row],[Actual]]/DistMeetingQuota[[#This Row],[Quota]]</f>
        <v>1</v>
      </c>
      <c r="I57" s="4"/>
      <c r="J57" s="2"/>
      <c r="K57" s="2">
        <v>2</v>
      </c>
      <c r="L57" s="2"/>
      <c r="M57" s="2"/>
      <c r="N57" s="2"/>
      <c r="O57" s="2"/>
      <c r="P57" s="4" t="s">
        <v>14</v>
      </c>
      <c r="Q57" s="2"/>
    </row>
    <row r="58" spans="1:17" s="109" customFormat="1">
      <c r="A58" s="4">
        <v>2037941</v>
      </c>
      <c r="B58" s="5" t="s">
        <v>38</v>
      </c>
      <c r="C58" s="4" t="s">
        <v>93</v>
      </c>
      <c r="D58" s="78" t="s">
        <v>11</v>
      </c>
      <c r="E58" s="53">
        <v>3</v>
      </c>
      <c r="F58" s="11">
        <f>SUM(DistMeetingQuota[[#This Row],[Sep]:[Feb]])</f>
        <v>0</v>
      </c>
      <c r="G58" s="11">
        <f>DistMeetingQuota[[#This Row],[Quota]]-DistMeetingQuota[[#This Row],[Actual]]</f>
        <v>3</v>
      </c>
      <c r="H58" s="12">
        <f>DistMeetingQuota[[#This Row],[Actual]]/DistMeetingQuota[[#This Row],[Quota]]</f>
        <v>0</v>
      </c>
      <c r="I58" s="4"/>
      <c r="J58" s="2"/>
      <c r="K58" s="2"/>
      <c r="L58" s="2"/>
      <c r="M58" s="2"/>
      <c r="N58" s="2"/>
      <c r="O58" s="2"/>
      <c r="P58" s="4" t="s">
        <v>14</v>
      </c>
      <c r="Q58" s="2"/>
    </row>
    <row r="59" spans="1:17" s="109" customFormat="1" ht="30">
      <c r="A59" s="4">
        <v>2079444</v>
      </c>
      <c r="B59" s="5" t="s">
        <v>89</v>
      </c>
      <c r="C59" s="4" t="s">
        <v>93</v>
      </c>
      <c r="D59" s="4" t="s">
        <v>13</v>
      </c>
      <c r="E59" s="53">
        <v>2</v>
      </c>
      <c r="F59" s="11">
        <f>SUM(DistMeetingQuota[[#This Row],[Sep]:[Feb]])</f>
        <v>0</v>
      </c>
      <c r="G59" s="11">
        <f>DistMeetingQuota[[#This Row],[Quota]]-DistMeetingQuota[[#This Row],[Actual]]</f>
        <v>2</v>
      </c>
      <c r="H59" s="12">
        <f>DistMeetingQuota[[#This Row],[Actual]]/DistMeetingQuota[[#This Row],[Quota]]</f>
        <v>0</v>
      </c>
      <c r="I59" s="4"/>
      <c r="J59" s="2"/>
      <c r="K59" s="2"/>
      <c r="L59" s="2"/>
      <c r="M59" s="2"/>
      <c r="N59" s="2"/>
      <c r="O59" s="2"/>
      <c r="P59" s="4" t="s">
        <v>14</v>
      </c>
      <c r="Q59" s="2"/>
    </row>
    <row r="60" spans="1:17" s="109" customFormat="1" ht="30">
      <c r="A60" s="4">
        <v>2079444</v>
      </c>
      <c r="B60" s="5" t="s">
        <v>89</v>
      </c>
      <c r="C60" s="4" t="s">
        <v>93</v>
      </c>
      <c r="D60" s="78" t="s">
        <v>11</v>
      </c>
      <c r="E60" s="53">
        <v>3</v>
      </c>
      <c r="F60" s="11">
        <f>SUM(DistMeetingQuota[[#This Row],[Sep]:[Feb]])</f>
        <v>3</v>
      </c>
      <c r="G60" s="11">
        <f>DistMeetingQuota[[#This Row],[Quota]]-DistMeetingQuota[[#This Row],[Actual]]</f>
        <v>0</v>
      </c>
      <c r="H60" s="12">
        <f>DistMeetingQuota[[#This Row],[Actual]]/DistMeetingQuota[[#This Row],[Quota]]</f>
        <v>1</v>
      </c>
      <c r="I60" s="4">
        <v>1</v>
      </c>
      <c r="J60" s="2">
        <v>2</v>
      </c>
      <c r="K60" s="2"/>
      <c r="L60" s="2"/>
      <c r="M60" s="2"/>
      <c r="N60" s="2"/>
      <c r="O60" s="2"/>
      <c r="P60" s="4" t="s">
        <v>14</v>
      </c>
      <c r="Q60" s="2"/>
    </row>
    <row r="61" spans="1:17" s="109" customFormat="1" ht="30">
      <c r="A61" s="4">
        <v>2014629</v>
      </c>
      <c r="B61" s="5" t="s">
        <v>90</v>
      </c>
      <c r="C61" s="4" t="s">
        <v>22</v>
      </c>
      <c r="D61" s="4" t="s">
        <v>13</v>
      </c>
      <c r="E61" s="53">
        <v>3</v>
      </c>
      <c r="F61" s="11">
        <f>SUM(DistMeetingQuota[[#This Row],[Sep]:[Feb]])</f>
        <v>2</v>
      </c>
      <c r="G61" s="11">
        <f>DistMeetingQuota[[#This Row],[Quota]]-DistMeetingQuota[[#This Row],[Actual]]</f>
        <v>1</v>
      </c>
      <c r="H61" s="12">
        <f>DistMeetingQuota[[#This Row],[Actual]]/DistMeetingQuota[[#This Row],[Quota]]</f>
        <v>0.66666666666666663</v>
      </c>
      <c r="I61" s="4"/>
      <c r="J61" s="2"/>
      <c r="K61" s="2"/>
      <c r="L61" s="2"/>
      <c r="M61" s="2"/>
      <c r="N61" s="2">
        <v>2</v>
      </c>
      <c r="O61" s="2"/>
      <c r="P61" s="4" t="s">
        <v>14</v>
      </c>
      <c r="Q61" s="2"/>
    </row>
    <row r="62" spans="1:17" s="109" customFormat="1" ht="30">
      <c r="A62" s="4">
        <v>2014629</v>
      </c>
      <c r="B62" s="5" t="s">
        <v>90</v>
      </c>
      <c r="C62" s="4" t="s">
        <v>22</v>
      </c>
      <c r="D62" s="4" t="s">
        <v>487</v>
      </c>
      <c r="E62" s="53">
        <v>2</v>
      </c>
      <c r="F62" s="11">
        <f>SUM(DistMeetingQuota[[#This Row],[Sep]:[Feb]])</f>
        <v>2</v>
      </c>
      <c r="G62" s="11">
        <f>DistMeetingQuota[[#This Row],[Quota]]-DistMeetingQuota[[#This Row],[Actual]]</f>
        <v>0</v>
      </c>
      <c r="H62" s="12">
        <f>DistMeetingQuota[[#This Row],[Actual]]/DistMeetingQuota[[#This Row],[Quota]]</f>
        <v>1</v>
      </c>
      <c r="I62" s="4"/>
      <c r="J62" s="2"/>
      <c r="K62" s="2">
        <v>1</v>
      </c>
      <c r="L62" s="2"/>
      <c r="M62" s="2">
        <v>1</v>
      </c>
      <c r="N62" s="2"/>
      <c r="O62" s="2"/>
      <c r="P62" s="4" t="s">
        <v>14</v>
      </c>
      <c r="Q62" s="2"/>
    </row>
    <row r="63" spans="1:17" s="109" customFormat="1" ht="30">
      <c r="A63" s="4">
        <v>2014629</v>
      </c>
      <c r="B63" s="5" t="s">
        <v>90</v>
      </c>
      <c r="C63" s="4" t="s">
        <v>22</v>
      </c>
      <c r="D63" s="78" t="s">
        <v>5</v>
      </c>
      <c r="E63" s="53">
        <v>3</v>
      </c>
      <c r="F63" s="11">
        <f>SUM(DistMeetingQuota[[#This Row],[Sep]:[Feb]])</f>
        <v>0</v>
      </c>
      <c r="G63" s="11">
        <f>DistMeetingQuota[[#This Row],[Quota]]-DistMeetingQuota[[#This Row],[Actual]]</f>
        <v>3</v>
      </c>
      <c r="H63" s="12">
        <f>DistMeetingQuota[[#This Row],[Actual]]/DistMeetingQuota[[#This Row],[Quota]]</f>
        <v>0</v>
      </c>
      <c r="I63" s="4"/>
      <c r="J63" s="2"/>
      <c r="K63" s="2"/>
      <c r="L63" s="2"/>
      <c r="M63" s="2"/>
      <c r="N63" s="2"/>
      <c r="O63" s="2"/>
      <c r="P63" s="4" t="s">
        <v>14</v>
      </c>
      <c r="Q63" s="2"/>
    </row>
    <row r="64" spans="1:17" s="154" customFormat="1">
      <c r="A64" s="147">
        <v>2028106</v>
      </c>
      <c r="B64" s="148" t="s">
        <v>37</v>
      </c>
      <c r="C64" s="147" t="s">
        <v>22</v>
      </c>
      <c r="D64" s="147" t="s">
        <v>11</v>
      </c>
      <c r="E64" s="150">
        <v>4</v>
      </c>
      <c r="F64" s="157">
        <f>SUM(DistMeetingQuota[[#This Row],[Sep]:[Feb]])</f>
        <v>4</v>
      </c>
      <c r="G64" s="157">
        <f>DistMeetingQuota[[#This Row],[Quota]]-DistMeetingQuota[[#This Row],[Actual]]</f>
        <v>0</v>
      </c>
      <c r="H64" s="151">
        <f>DistMeetingQuota[[#This Row],[Actual]]/DistMeetingQuota[[#This Row],[Quota]]</f>
        <v>1</v>
      </c>
      <c r="I64" s="147"/>
      <c r="J64" s="152"/>
      <c r="K64" s="152"/>
      <c r="L64" s="152">
        <v>4</v>
      </c>
      <c r="M64" s="152"/>
      <c r="N64" s="152"/>
      <c r="O64" s="152" t="s">
        <v>1049</v>
      </c>
      <c r="P64" s="147" t="s">
        <v>14</v>
      </c>
      <c r="Q64" s="152"/>
    </row>
    <row r="65" spans="1:17" s="154" customFormat="1">
      <c r="A65" s="147">
        <v>2028106</v>
      </c>
      <c r="B65" s="148" t="s">
        <v>37</v>
      </c>
      <c r="C65" s="147" t="s">
        <v>22</v>
      </c>
      <c r="D65" s="147" t="s">
        <v>11</v>
      </c>
      <c r="E65" s="150">
        <v>2</v>
      </c>
      <c r="F65" s="157">
        <f>SUM(DistMeetingQuota[[#This Row],[Sep]:[Feb]])</f>
        <v>2</v>
      </c>
      <c r="G65" s="157">
        <f>DistMeetingQuota[[#This Row],[Quota]]-DistMeetingQuota[[#This Row],[Actual]]</f>
        <v>0</v>
      </c>
      <c r="H65" s="151">
        <f>DistMeetingQuota[[#This Row],[Actual]]/DistMeetingQuota[[#This Row],[Quota]]</f>
        <v>1</v>
      </c>
      <c r="I65" s="147"/>
      <c r="J65" s="152">
        <v>0</v>
      </c>
      <c r="K65" s="152">
        <v>2</v>
      </c>
      <c r="L65" s="152"/>
      <c r="M65" s="152"/>
      <c r="N65" s="152"/>
      <c r="O65" s="152" t="s">
        <v>1010</v>
      </c>
      <c r="P65" s="147" t="s">
        <v>14</v>
      </c>
      <c r="Q65" s="152"/>
    </row>
    <row r="66" spans="1:17" s="154" customFormat="1">
      <c r="A66" s="147">
        <v>2028106</v>
      </c>
      <c r="B66" s="148" t="s">
        <v>37</v>
      </c>
      <c r="C66" s="147" t="s">
        <v>22</v>
      </c>
      <c r="D66" s="147" t="s">
        <v>11</v>
      </c>
      <c r="E66" s="150">
        <v>4</v>
      </c>
      <c r="F66" s="157">
        <f>SUM(DistMeetingQuota[[#This Row],[Sep]:[Feb]])</f>
        <v>4</v>
      </c>
      <c r="G66" s="157">
        <f>DistMeetingQuota[[#This Row],[Quota]]-DistMeetingQuota[[#This Row],[Actual]]</f>
        <v>0</v>
      </c>
      <c r="H66" s="151">
        <f>DistMeetingQuota[[#This Row],[Actual]]/DistMeetingQuota[[#This Row],[Quota]]</f>
        <v>1</v>
      </c>
      <c r="I66" s="147"/>
      <c r="J66" s="152">
        <v>4</v>
      </c>
      <c r="K66" s="152"/>
      <c r="L66" s="152"/>
      <c r="M66" s="152"/>
      <c r="N66" s="152"/>
      <c r="O66" s="152" t="s">
        <v>1048</v>
      </c>
      <c r="P66" s="147" t="s">
        <v>14</v>
      </c>
      <c r="Q66" s="152"/>
    </row>
    <row r="67" spans="1:17" s="154" customFormat="1">
      <c r="A67" s="147">
        <v>2028106</v>
      </c>
      <c r="B67" s="148" t="s">
        <v>37</v>
      </c>
      <c r="C67" s="147" t="s">
        <v>22</v>
      </c>
      <c r="D67" s="147" t="s">
        <v>11</v>
      </c>
      <c r="E67" s="150">
        <v>4</v>
      </c>
      <c r="F67" s="157">
        <f>SUM(DistMeetingQuota[[#This Row],[Sep]:[Feb]])</f>
        <v>4</v>
      </c>
      <c r="G67" s="157">
        <f>DistMeetingQuota[[#This Row],[Quota]]-DistMeetingQuota[[#This Row],[Actual]]</f>
        <v>0</v>
      </c>
      <c r="H67" s="151">
        <f>DistMeetingQuota[[#This Row],[Actual]]/DistMeetingQuota[[#This Row],[Quota]]</f>
        <v>1</v>
      </c>
      <c r="I67" s="147">
        <v>4</v>
      </c>
      <c r="J67" s="152"/>
      <c r="K67" s="152"/>
      <c r="L67" s="152"/>
      <c r="M67" s="152"/>
      <c r="N67" s="152"/>
      <c r="O67" s="152" t="s">
        <v>1049</v>
      </c>
      <c r="P67" s="147" t="s">
        <v>14</v>
      </c>
      <c r="Q67" s="152"/>
    </row>
    <row r="68" spans="1:17" s="109" customFormat="1" ht="30">
      <c r="A68" s="4">
        <v>2085896</v>
      </c>
      <c r="B68" s="5" t="s">
        <v>91</v>
      </c>
      <c r="C68" s="4" t="s">
        <v>22</v>
      </c>
      <c r="D68" s="4" t="s">
        <v>13</v>
      </c>
      <c r="E68" s="53">
        <v>3</v>
      </c>
      <c r="F68" s="11">
        <f>SUM(DistMeetingQuota[[#This Row],[Sep]:[Feb]])</f>
        <v>3</v>
      </c>
      <c r="G68" s="11">
        <f>DistMeetingQuota[[#This Row],[Quota]]-DistMeetingQuota[[#This Row],[Actual]]</f>
        <v>0</v>
      </c>
      <c r="H68" s="12">
        <f>DistMeetingQuota[[#This Row],[Actual]]/DistMeetingQuota[[#This Row],[Quota]]</f>
        <v>1</v>
      </c>
      <c r="I68" s="4">
        <v>1</v>
      </c>
      <c r="J68" s="2"/>
      <c r="K68" s="2"/>
      <c r="L68" s="2"/>
      <c r="M68" s="2">
        <v>1</v>
      </c>
      <c r="N68" s="2">
        <v>1</v>
      </c>
      <c r="O68" s="4"/>
      <c r="P68" s="4" t="s">
        <v>14</v>
      </c>
      <c r="Q68" s="2"/>
    </row>
    <row r="69" spans="1:17" s="109" customFormat="1" ht="30">
      <c r="A69" s="4">
        <v>2085896</v>
      </c>
      <c r="B69" s="5" t="s">
        <v>91</v>
      </c>
      <c r="C69" s="4" t="s">
        <v>22</v>
      </c>
      <c r="D69" s="78" t="s">
        <v>487</v>
      </c>
      <c r="E69" s="53">
        <v>2</v>
      </c>
      <c r="F69" s="11">
        <f>SUM(DistMeetingQuota[[#This Row],[Sep]:[Feb]])</f>
        <v>2</v>
      </c>
      <c r="G69" s="11">
        <f>DistMeetingQuota[[#This Row],[Quota]]-DistMeetingQuota[[#This Row],[Actual]]</f>
        <v>0</v>
      </c>
      <c r="H69" s="12">
        <f>DistMeetingQuota[[#This Row],[Actual]]/DistMeetingQuota[[#This Row],[Quota]]</f>
        <v>1</v>
      </c>
      <c r="I69" s="4"/>
      <c r="J69" s="2">
        <v>2</v>
      </c>
      <c r="K69" s="2"/>
      <c r="L69" s="2"/>
      <c r="M69" s="2"/>
      <c r="N69" s="2"/>
      <c r="O69" s="2"/>
      <c r="P69" s="4" t="s">
        <v>14</v>
      </c>
      <c r="Q69" s="2"/>
    </row>
    <row r="70" spans="1:17" s="109" customFormat="1" ht="30">
      <c r="A70" s="4">
        <v>2028263</v>
      </c>
      <c r="B70" s="5" t="s">
        <v>92</v>
      </c>
      <c r="C70" s="4" t="s">
        <v>22</v>
      </c>
      <c r="D70" s="4" t="s">
        <v>13</v>
      </c>
      <c r="E70" s="53">
        <v>3</v>
      </c>
      <c r="F70" s="11">
        <f>SUM(DistMeetingQuota[[#This Row],[Sep]:[Feb]])</f>
        <v>0</v>
      </c>
      <c r="G70" s="11">
        <f>DistMeetingQuota[[#This Row],[Quota]]-DistMeetingQuota[[#This Row],[Actual]]</f>
        <v>3</v>
      </c>
      <c r="H70" s="12">
        <f>DistMeetingQuota[[#This Row],[Actual]]/DistMeetingQuota[[#This Row],[Quota]]</f>
        <v>0</v>
      </c>
      <c r="I70" s="4"/>
      <c r="J70" s="2"/>
      <c r="K70" s="2"/>
      <c r="L70" s="2"/>
      <c r="M70" s="2"/>
      <c r="N70" s="2"/>
      <c r="O70" s="4"/>
      <c r="P70" s="4" t="s">
        <v>475</v>
      </c>
      <c r="Q70" s="2"/>
    </row>
    <row r="71" spans="1:17" s="109" customFormat="1" ht="30">
      <c r="A71" s="147">
        <v>2028263</v>
      </c>
      <c r="B71" s="148" t="s">
        <v>92</v>
      </c>
      <c r="C71" s="147" t="s">
        <v>22</v>
      </c>
      <c r="D71" s="149" t="s">
        <v>487</v>
      </c>
      <c r="E71" s="150">
        <v>2</v>
      </c>
      <c r="F71" s="11">
        <f>SUM(DistMeetingQuota[[#This Row],[Sep]:[Feb]])</f>
        <v>0</v>
      </c>
      <c r="G71" s="11">
        <f>DistMeetingQuota[[#This Row],[Quota]]-DistMeetingQuota[[#This Row],[Actual]]</f>
        <v>2</v>
      </c>
      <c r="H71" s="151">
        <f>DistMeetingQuota[[#This Row],[Actual]]/DistMeetingQuota[[#This Row],[Quota]]</f>
        <v>0</v>
      </c>
      <c r="I71" s="147"/>
      <c r="J71" s="152"/>
      <c r="K71" s="152"/>
      <c r="L71" s="152"/>
      <c r="M71" s="152"/>
      <c r="N71" s="152"/>
      <c r="O71" s="147"/>
      <c r="P71" s="147" t="s">
        <v>475</v>
      </c>
      <c r="Q71" s="152"/>
    </row>
    <row r="72" spans="1:17" s="109" customFormat="1" ht="30">
      <c r="A72" s="4">
        <v>2038005</v>
      </c>
      <c r="B72" s="5" t="s">
        <v>24</v>
      </c>
      <c r="C72" s="4" t="s">
        <v>25</v>
      </c>
      <c r="D72" s="4" t="s">
        <v>13</v>
      </c>
      <c r="E72" s="53">
        <v>2</v>
      </c>
      <c r="F72" s="11">
        <f>SUM(DistMeetingQuota[[#This Row],[Sep]:[Feb]])</f>
        <v>0</v>
      </c>
      <c r="G72" s="11">
        <f>DistMeetingQuota[[#This Row],[Quota]]-DistMeetingQuota[[#This Row],[Actual]]</f>
        <v>2</v>
      </c>
      <c r="H72" s="12">
        <f>DistMeetingQuota[[#This Row],[Actual]]/DistMeetingQuota[[#This Row],[Quota]]</f>
        <v>0</v>
      </c>
      <c r="I72" s="4"/>
      <c r="J72" s="2"/>
      <c r="K72" s="2"/>
      <c r="L72" s="2"/>
      <c r="M72" s="2"/>
      <c r="N72" s="2"/>
      <c r="O72" s="2"/>
      <c r="P72" s="4" t="s">
        <v>14</v>
      </c>
      <c r="Q72" s="2"/>
    </row>
    <row r="73" spans="1:17" s="109" customFormat="1" ht="30">
      <c r="A73" s="4">
        <v>2038005</v>
      </c>
      <c r="B73" s="5" t="s">
        <v>24</v>
      </c>
      <c r="C73" s="4" t="s">
        <v>25</v>
      </c>
      <c r="D73" s="78" t="s">
        <v>11</v>
      </c>
      <c r="E73" s="53">
        <v>3</v>
      </c>
      <c r="F73" s="11">
        <f>SUM(DistMeetingQuota[[#This Row],[Sep]:[Feb]])</f>
        <v>0</v>
      </c>
      <c r="G73" s="11">
        <f>DistMeetingQuota[[#This Row],[Quota]]-DistMeetingQuota[[#This Row],[Actual]]</f>
        <v>3</v>
      </c>
      <c r="H73" s="12">
        <f>DistMeetingQuota[[#This Row],[Actual]]/DistMeetingQuota[[#This Row],[Quota]]</f>
        <v>0</v>
      </c>
      <c r="I73" s="4"/>
      <c r="J73" s="2"/>
      <c r="K73" s="2"/>
      <c r="L73" s="2"/>
      <c r="M73" s="2"/>
      <c r="N73" s="2"/>
      <c r="O73" s="2"/>
      <c r="P73" s="4" t="s">
        <v>14</v>
      </c>
      <c r="Q73" s="2"/>
    </row>
    <row r="74" spans="1:17" s="109" customFormat="1" ht="30">
      <c r="A74" s="4">
        <v>2014888</v>
      </c>
      <c r="B74" s="5" t="s">
        <v>28</v>
      </c>
      <c r="C74" s="4" t="s">
        <v>25</v>
      </c>
      <c r="D74" s="4" t="s">
        <v>13</v>
      </c>
      <c r="E74" s="53">
        <v>2</v>
      </c>
      <c r="F74" s="11">
        <f>SUM(DistMeetingQuota[[#This Row],[Sep]:[Feb]])</f>
        <v>0</v>
      </c>
      <c r="G74" s="11">
        <f>DistMeetingQuota[[#This Row],[Quota]]-DistMeetingQuota[[#This Row],[Actual]]</f>
        <v>2</v>
      </c>
      <c r="H74" s="12">
        <f>DistMeetingQuota[[#This Row],[Actual]]/DistMeetingQuota[[#This Row],[Quota]]</f>
        <v>0</v>
      </c>
      <c r="I74" s="4"/>
      <c r="J74" s="2"/>
      <c r="K74" s="2"/>
      <c r="L74" s="2"/>
      <c r="M74" s="2"/>
      <c r="N74" s="2"/>
      <c r="O74" s="2"/>
      <c r="P74" s="4" t="s">
        <v>14</v>
      </c>
      <c r="Q74" s="2"/>
    </row>
    <row r="75" spans="1:17" s="109" customFormat="1" ht="30">
      <c r="A75" s="4">
        <v>2014888</v>
      </c>
      <c r="B75" s="5" t="s">
        <v>28</v>
      </c>
      <c r="C75" s="4" t="s">
        <v>25</v>
      </c>
      <c r="D75" s="78" t="s">
        <v>11</v>
      </c>
      <c r="E75" s="53">
        <v>3</v>
      </c>
      <c r="F75" s="11">
        <f>SUM(DistMeetingQuota[[#This Row],[Sep]:[Feb]])</f>
        <v>3</v>
      </c>
      <c r="G75" s="11">
        <f>DistMeetingQuota[[#This Row],[Quota]]-DistMeetingQuota[[#This Row],[Actual]]</f>
        <v>0</v>
      </c>
      <c r="H75" s="12">
        <f>DistMeetingQuota[[#This Row],[Actual]]/DistMeetingQuota[[#This Row],[Quota]]</f>
        <v>1</v>
      </c>
      <c r="I75" s="4">
        <v>1</v>
      </c>
      <c r="J75" s="2">
        <v>1</v>
      </c>
      <c r="K75" s="2"/>
      <c r="L75" s="2"/>
      <c r="M75" s="2"/>
      <c r="N75" s="2">
        <v>1</v>
      </c>
      <c r="O75" s="2"/>
      <c r="P75" s="4" t="s">
        <v>14</v>
      </c>
      <c r="Q75" s="2"/>
    </row>
    <row r="76" spans="1:17" s="109" customFormat="1" ht="30">
      <c r="A76" s="4">
        <v>2009319</v>
      </c>
      <c r="B76" s="5" t="s">
        <v>27</v>
      </c>
      <c r="C76" s="4" t="s">
        <v>25</v>
      </c>
      <c r="D76" s="4" t="s">
        <v>13</v>
      </c>
      <c r="E76" s="53">
        <v>2</v>
      </c>
      <c r="F76" s="11">
        <f>SUM(DistMeetingQuota[[#This Row],[Sep]:[Feb]])</f>
        <v>0</v>
      </c>
      <c r="G76" s="11">
        <f>DistMeetingQuota[[#This Row],[Quota]]-DistMeetingQuota[[#This Row],[Actual]]</f>
        <v>2</v>
      </c>
      <c r="H76" s="12">
        <f>DistMeetingQuota[[#This Row],[Actual]]/DistMeetingQuota[[#This Row],[Quota]]</f>
        <v>0</v>
      </c>
      <c r="I76" s="4"/>
      <c r="J76" s="2"/>
      <c r="K76" s="2"/>
      <c r="L76" s="2"/>
      <c r="M76" s="2"/>
      <c r="N76" s="2"/>
      <c r="O76" s="2"/>
      <c r="P76" s="4" t="s">
        <v>10</v>
      </c>
      <c r="Q76" s="2"/>
    </row>
    <row r="77" spans="1:17" s="109" customFormat="1" ht="30">
      <c r="A77" s="4">
        <v>2009319</v>
      </c>
      <c r="B77" s="5" t="s">
        <v>27</v>
      </c>
      <c r="C77" s="4" t="s">
        <v>25</v>
      </c>
      <c r="D77" s="78" t="s">
        <v>11</v>
      </c>
      <c r="E77" s="53">
        <v>3</v>
      </c>
      <c r="F77" s="11">
        <f>SUM(DistMeetingQuota[[#This Row],[Sep]:[Feb]])</f>
        <v>3</v>
      </c>
      <c r="G77" s="11">
        <f>DistMeetingQuota[[#This Row],[Quota]]-DistMeetingQuota[[#This Row],[Actual]]</f>
        <v>0</v>
      </c>
      <c r="H77" s="12">
        <f>DistMeetingQuota[[#This Row],[Actual]]/DistMeetingQuota[[#This Row],[Quota]]</f>
        <v>1</v>
      </c>
      <c r="I77" s="4"/>
      <c r="J77" s="2"/>
      <c r="K77" s="2"/>
      <c r="L77" s="2"/>
      <c r="M77" s="2"/>
      <c r="N77" s="2">
        <v>3</v>
      </c>
      <c r="O77" s="2"/>
      <c r="P77" s="4" t="s">
        <v>10</v>
      </c>
      <c r="Q77" s="2"/>
    </row>
    <row r="78" spans="1:17" s="109" customFormat="1" ht="30">
      <c r="A78" s="4">
        <v>2019321</v>
      </c>
      <c r="B78" s="5" t="s">
        <v>20</v>
      </c>
      <c r="C78" s="4" t="s">
        <v>22</v>
      </c>
      <c r="D78" s="4" t="s">
        <v>13</v>
      </c>
      <c r="E78" s="53">
        <v>3</v>
      </c>
      <c r="F78" s="11">
        <f>SUM(DistMeetingQuota[[#This Row],[Sep]:[Feb]])</f>
        <v>1</v>
      </c>
      <c r="G78" s="11">
        <f>DistMeetingQuota[[#This Row],[Quota]]-DistMeetingQuota[[#This Row],[Actual]]</f>
        <v>2</v>
      </c>
      <c r="H78" s="12">
        <f>DistMeetingQuota[[#This Row],[Actual]]/DistMeetingQuota[[#This Row],[Quota]]</f>
        <v>0.33333333333333331</v>
      </c>
      <c r="I78" s="4"/>
      <c r="J78" s="2"/>
      <c r="K78" s="2"/>
      <c r="L78" s="2"/>
      <c r="M78" s="2"/>
      <c r="N78" s="2">
        <v>1</v>
      </c>
      <c r="O78" s="4"/>
      <c r="P78" s="4" t="s">
        <v>14</v>
      </c>
      <c r="Q78" s="2"/>
    </row>
    <row r="79" spans="1:17" s="109" customFormat="1" ht="30">
      <c r="A79" s="4">
        <v>2019321</v>
      </c>
      <c r="B79" s="5" t="s">
        <v>20</v>
      </c>
      <c r="C79" s="4" t="s">
        <v>22</v>
      </c>
      <c r="D79" s="4" t="s">
        <v>487</v>
      </c>
      <c r="E79" s="53">
        <v>2</v>
      </c>
      <c r="F79" s="11">
        <f>SUM(DistMeetingQuota[[#This Row],[Sep]:[Feb]])</f>
        <v>1</v>
      </c>
      <c r="G79" s="11">
        <f>DistMeetingQuota[[#This Row],[Quota]]-DistMeetingQuota[[#This Row],[Actual]]</f>
        <v>1</v>
      </c>
      <c r="H79" s="12">
        <f>DistMeetingQuota[[#This Row],[Actual]]/DistMeetingQuota[[#This Row],[Quota]]</f>
        <v>0.5</v>
      </c>
      <c r="I79" s="4">
        <v>1</v>
      </c>
      <c r="J79" s="2"/>
      <c r="K79" s="2"/>
      <c r="L79" s="2"/>
      <c r="M79" s="2"/>
      <c r="N79" s="2"/>
      <c r="O79" s="2"/>
      <c r="P79" s="4" t="s">
        <v>14</v>
      </c>
      <c r="Q79" s="4"/>
    </row>
    <row r="80" spans="1:17" s="109" customFormat="1" ht="30">
      <c r="A80" s="4">
        <v>2009189</v>
      </c>
      <c r="B80" s="5" t="s">
        <v>26</v>
      </c>
      <c r="C80" s="4" t="s">
        <v>25</v>
      </c>
      <c r="D80" s="4" t="s">
        <v>13</v>
      </c>
      <c r="E80" s="53">
        <v>2</v>
      </c>
      <c r="F80" s="11">
        <f>SUM(DistMeetingQuota[[#This Row],[Sep]:[Feb]])</f>
        <v>2</v>
      </c>
      <c r="G80" s="11">
        <f>DistMeetingQuota[[#This Row],[Quota]]-DistMeetingQuota[[#This Row],[Actual]]</f>
        <v>0</v>
      </c>
      <c r="H80" s="12">
        <f>DistMeetingQuota[[#This Row],[Actual]]/DistMeetingQuota[[#This Row],[Quota]]</f>
        <v>1</v>
      </c>
      <c r="I80" s="4"/>
      <c r="J80" s="2"/>
      <c r="K80" s="2">
        <v>1</v>
      </c>
      <c r="L80" s="2">
        <v>1</v>
      </c>
      <c r="M80" s="2"/>
      <c r="N80" s="2"/>
      <c r="O80" s="2"/>
      <c r="P80" s="4" t="s">
        <v>10</v>
      </c>
      <c r="Q80" s="2"/>
    </row>
    <row r="81" spans="1:17" s="109" customFormat="1" ht="30">
      <c r="A81" s="4">
        <v>2009189</v>
      </c>
      <c r="B81" s="5" t="s">
        <v>26</v>
      </c>
      <c r="C81" s="4" t="s">
        <v>25</v>
      </c>
      <c r="D81" s="4" t="s">
        <v>11</v>
      </c>
      <c r="E81" s="53">
        <v>3</v>
      </c>
      <c r="F81" s="11">
        <f>SUM(DistMeetingQuota[[#This Row],[Sep]:[Feb]])</f>
        <v>3</v>
      </c>
      <c r="G81" s="11">
        <f>DistMeetingQuota[[#This Row],[Quota]]-DistMeetingQuota[[#This Row],[Actual]]</f>
        <v>0</v>
      </c>
      <c r="H81" s="12">
        <f>DistMeetingQuota[[#This Row],[Actual]]/DistMeetingQuota[[#This Row],[Quota]]</f>
        <v>1</v>
      </c>
      <c r="I81" s="4"/>
      <c r="J81" s="2"/>
      <c r="K81" s="2"/>
      <c r="L81" s="2">
        <v>3</v>
      </c>
      <c r="M81" s="2"/>
      <c r="N81" s="2"/>
      <c r="O81" s="2"/>
      <c r="P81" s="4" t="s">
        <v>10</v>
      </c>
      <c r="Q81" s="2"/>
    </row>
    <row r="82" spans="1:17" s="109" customFormat="1">
      <c r="A82" s="4">
        <v>2016219</v>
      </c>
      <c r="B82" s="5" t="s">
        <v>95</v>
      </c>
      <c r="C82" s="4" t="s">
        <v>19</v>
      </c>
      <c r="D82" s="4" t="s">
        <v>11</v>
      </c>
      <c r="E82" s="53">
        <v>2</v>
      </c>
      <c r="F82" s="11">
        <f>SUM(DistMeetingQuota[[#This Row],[Sep]:[Feb]])</f>
        <v>0</v>
      </c>
      <c r="G82" s="11">
        <f>DistMeetingQuota[[#This Row],[Quota]]-DistMeetingQuota[[#This Row],[Actual]]</f>
        <v>2</v>
      </c>
      <c r="H82" s="12">
        <f>DistMeetingQuota[[#This Row],[Actual]]/DistMeetingQuota[[#This Row],[Quota]]</f>
        <v>0</v>
      </c>
      <c r="I82" s="4"/>
      <c r="J82" s="2"/>
      <c r="K82" s="2"/>
      <c r="L82" s="2"/>
      <c r="M82" s="2"/>
      <c r="N82" s="2"/>
      <c r="O82" s="2"/>
      <c r="P82" s="4" t="s">
        <v>14</v>
      </c>
      <c r="Q82" s="2"/>
    </row>
    <row r="83" spans="1:17" s="109" customFormat="1">
      <c r="A83" s="4">
        <v>2009967</v>
      </c>
      <c r="B83" s="5" t="s">
        <v>96</v>
      </c>
      <c r="C83" s="4" t="s">
        <v>19</v>
      </c>
      <c r="D83" s="4" t="s">
        <v>11</v>
      </c>
      <c r="E83" s="53">
        <v>2</v>
      </c>
      <c r="F83" s="11">
        <f>SUM(DistMeetingQuota[[#This Row],[Sep]:[Feb]])</f>
        <v>0</v>
      </c>
      <c r="G83" s="11">
        <f>DistMeetingQuota[[#This Row],[Quota]]-DistMeetingQuota[[#This Row],[Actual]]</f>
        <v>2</v>
      </c>
      <c r="H83" s="12">
        <f>DistMeetingQuota[[#This Row],[Actual]]/DistMeetingQuota[[#This Row],[Quota]]</f>
        <v>0</v>
      </c>
      <c r="I83" s="4"/>
      <c r="J83" s="2"/>
      <c r="K83" s="2"/>
      <c r="L83" s="2"/>
      <c r="M83" s="2"/>
      <c r="N83" s="2"/>
      <c r="O83" s="2"/>
      <c r="P83" s="4" t="s">
        <v>59</v>
      </c>
      <c r="Q83" s="2"/>
    </row>
    <row r="84" spans="1:17" s="109" customFormat="1">
      <c r="A84" s="4">
        <v>2009967</v>
      </c>
      <c r="B84" s="5" t="s">
        <v>96</v>
      </c>
      <c r="C84" s="4" t="s">
        <v>19</v>
      </c>
      <c r="D84" s="4" t="s">
        <v>5</v>
      </c>
      <c r="E84" s="53">
        <v>24</v>
      </c>
      <c r="F84" s="11">
        <f>SUM(DistMeetingQuota[[#This Row],[Sep]:[Feb]])</f>
        <v>0</v>
      </c>
      <c r="G84" s="11">
        <f>DistMeetingQuota[[#This Row],[Quota]]-DistMeetingQuota[[#This Row],[Actual]]</f>
        <v>24</v>
      </c>
      <c r="H84" s="49">
        <f>DistMeetingQuota[[#This Row],[Actual]]/DistMeetingQuota[[#This Row],[Quota]]</f>
        <v>0</v>
      </c>
      <c r="I84" s="4"/>
      <c r="J84" s="2"/>
      <c r="K84" s="2"/>
      <c r="L84" s="2"/>
      <c r="M84" s="2"/>
      <c r="N84" s="2"/>
      <c r="O84" s="2"/>
      <c r="P84" s="4" t="s">
        <v>59</v>
      </c>
      <c r="Q84" s="2"/>
    </row>
    <row r="85" spans="1:17" s="109" customFormat="1" ht="30">
      <c r="A85" s="4">
        <v>2009527</v>
      </c>
      <c r="B85" s="5" t="s">
        <v>97</v>
      </c>
      <c r="C85" s="4" t="s">
        <v>19</v>
      </c>
      <c r="D85" s="4" t="s">
        <v>11</v>
      </c>
      <c r="E85" s="53">
        <v>2</v>
      </c>
      <c r="F85" s="11">
        <f>SUM(DistMeetingQuota[[#This Row],[Sep]:[Feb]])</f>
        <v>0</v>
      </c>
      <c r="G85" s="11">
        <f>DistMeetingQuota[[#This Row],[Quota]]-DistMeetingQuota[[#This Row],[Actual]]</f>
        <v>2</v>
      </c>
      <c r="H85" s="12">
        <f>DistMeetingQuota[[#This Row],[Actual]]/DistMeetingQuota[[#This Row],[Quota]]</f>
        <v>0</v>
      </c>
      <c r="I85" s="4"/>
      <c r="J85" s="2"/>
      <c r="K85" s="2"/>
      <c r="L85" s="2"/>
      <c r="M85" s="2"/>
      <c r="N85" s="2"/>
      <c r="O85" s="2"/>
      <c r="P85" s="4" t="s">
        <v>10</v>
      </c>
      <c r="Q85" s="2"/>
    </row>
    <row r="86" spans="1:17" s="109" customFormat="1">
      <c r="A86" s="4">
        <v>2009600</v>
      </c>
      <c r="B86" s="5" t="s">
        <v>98</v>
      </c>
      <c r="C86" s="4" t="s">
        <v>19</v>
      </c>
      <c r="D86" s="4" t="s">
        <v>11</v>
      </c>
      <c r="E86" s="53">
        <v>2</v>
      </c>
      <c r="F86" s="11">
        <f>SUM(DistMeetingQuota[[#This Row],[Sep]:[Feb]])</f>
        <v>0</v>
      </c>
      <c r="G86" s="11">
        <f>DistMeetingQuota[[#This Row],[Quota]]-DistMeetingQuota[[#This Row],[Actual]]</f>
        <v>2</v>
      </c>
      <c r="H86" s="12">
        <f>DistMeetingQuota[[#This Row],[Actual]]/DistMeetingQuota[[#This Row],[Quota]]</f>
        <v>0</v>
      </c>
      <c r="I86" s="4"/>
      <c r="J86" s="2"/>
      <c r="K86" s="2"/>
      <c r="L86" s="2"/>
      <c r="M86" s="2"/>
      <c r="N86" s="2"/>
      <c r="O86" s="2"/>
      <c r="P86" s="4" t="s">
        <v>10</v>
      </c>
      <c r="Q86" s="2"/>
    </row>
    <row r="87" spans="1:17" s="109" customFormat="1" ht="30">
      <c r="A87" s="4">
        <v>2024305</v>
      </c>
      <c r="B87" s="5" t="s">
        <v>99</v>
      </c>
      <c r="C87" s="4" t="s">
        <v>19</v>
      </c>
      <c r="D87" s="4" t="s">
        <v>11</v>
      </c>
      <c r="E87" s="53">
        <v>2</v>
      </c>
      <c r="F87" s="11">
        <f>SUM(DistMeetingQuota[[#This Row],[Sep]:[Feb]])</f>
        <v>2</v>
      </c>
      <c r="G87" s="11">
        <f>DistMeetingQuota[[#This Row],[Quota]]-DistMeetingQuota[[#This Row],[Actual]]</f>
        <v>0</v>
      </c>
      <c r="H87" s="12">
        <f>DistMeetingQuota[[#This Row],[Actual]]/DistMeetingQuota[[#This Row],[Quota]]</f>
        <v>1</v>
      </c>
      <c r="I87" s="4"/>
      <c r="J87" s="2">
        <v>2</v>
      </c>
      <c r="K87" s="2"/>
      <c r="L87" s="2"/>
      <c r="M87" s="2"/>
      <c r="N87" s="2"/>
      <c r="O87" s="2"/>
      <c r="P87" s="4" t="s">
        <v>10</v>
      </c>
      <c r="Q87" s="2"/>
    </row>
    <row r="88" spans="1:17" s="109" customFormat="1">
      <c r="A88" s="4">
        <v>2017132</v>
      </c>
      <c r="B88" s="5" t="s">
        <v>100</v>
      </c>
      <c r="C88" s="4" t="s">
        <v>33</v>
      </c>
      <c r="D88" s="4" t="s">
        <v>11</v>
      </c>
      <c r="E88" s="53">
        <v>2</v>
      </c>
      <c r="F88" s="11">
        <f>SUM(DistMeetingQuota[[#This Row],[Sep]:[Feb]])</f>
        <v>0</v>
      </c>
      <c r="G88" s="11">
        <f>DistMeetingQuota[[#This Row],[Quota]]-DistMeetingQuota[[#This Row],[Actual]]</f>
        <v>2</v>
      </c>
      <c r="H88" s="12">
        <f>DistMeetingQuota[[#This Row],[Actual]]/DistMeetingQuota[[#This Row],[Quota]]</f>
        <v>0</v>
      </c>
      <c r="I88" s="4"/>
      <c r="J88" s="2"/>
      <c r="K88" s="2"/>
      <c r="L88" s="2"/>
      <c r="M88" s="2"/>
      <c r="N88" s="2"/>
      <c r="O88" s="2"/>
      <c r="P88" s="4" t="s">
        <v>14</v>
      </c>
      <c r="Q88" s="2"/>
    </row>
    <row r="89" spans="1:17" s="109" customFormat="1">
      <c r="A89" s="4">
        <v>2030300</v>
      </c>
      <c r="B89" s="5" t="s">
        <v>101</v>
      </c>
      <c r="C89" s="4" t="s">
        <v>19</v>
      </c>
      <c r="D89" s="4" t="s">
        <v>11</v>
      </c>
      <c r="E89" s="53">
        <v>2</v>
      </c>
      <c r="F89" s="11">
        <f>SUM(DistMeetingQuota[[#This Row],[Sep]:[Feb]])</f>
        <v>0</v>
      </c>
      <c r="G89" s="11">
        <f>DistMeetingQuota[[#This Row],[Quota]]-DistMeetingQuota[[#This Row],[Actual]]</f>
        <v>2</v>
      </c>
      <c r="H89" s="12">
        <f>DistMeetingQuota[[#This Row],[Actual]]/DistMeetingQuota[[#This Row],[Quota]]</f>
        <v>0</v>
      </c>
      <c r="I89" s="4"/>
      <c r="J89" s="2"/>
      <c r="K89" s="2"/>
      <c r="L89" s="2"/>
      <c r="M89" s="2"/>
      <c r="N89" s="2"/>
      <c r="O89" s="2"/>
      <c r="P89" s="4" t="s">
        <v>10</v>
      </c>
      <c r="Q89" s="2"/>
    </row>
    <row r="90" spans="1:17" s="109" customFormat="1">
      <c r="A90" s="4">
        <v>2010305</v>
      </c>
      <c r="B90" s="5" t="s">
        <v>102</v>
      </c>
      <c r="C90" s="4" t="s">
        <v>19</v>
      </c>
      <c r="D90" s="4" t="s">
        <v>11</v>
      </c>
      <c r="E90" s="53">
        <v>2</v>
      </c>
      <c r="F90" s="11">
        <f>SUM(DistMeetingQuota[[#This Row],[Sep]:[Feb]])</f>
        <v>0</v>
      </c>
      <c r="G90" s="11">
        <f>DistMeetingQuota[[#This Row],[Quota]]-DistMeetingQuota[[#This Row],[Actual]]</f>
        <v>2</v>
      </c>
      <c r="H90" s="12">
        <f>DistMeetingQuota[[#This Row],[Actual]]/DistMeetingQuota[[#This Row],[Quota]]</f>
        <v>0</v>
      </c>
      <c r="I90" s="4"/>
      <c r="J90" s="2"/>
      <c r="K90" s="2"/>
      <c r="L90" s="2"/>
      <c r="M90" s="2"/>
      <c r="N90" s="2"/>
      <c r="O90" s="2"/>
      <c r="P90" s="4" t="s">
        <v>10</v>
      </c>
      <c r="Q90" s="2"/>
    </row>
    <row r="91" spans="1:17" s="109" customFormat="1" ht="30">
      <c r="A91" s="4">
        <v>2021359</v>
      </c>
      <c r="B91" s="5" t="s">
        <v>103</v>
      </c>
      <c r="C91" s="4" t="s">
        <v>19</v>
      </c>
      <c r="D91" s="4" t="s">
        <v>11</v>
      </c>
      <c r="E91" s="53">
        <v>2</v>
      </c>
      <c r="F91" s="11">
        <f>SUM(DistMeetingQuota[[#This Row],[Sep]:[Feb]])</f>
        <v>0</v>
      </c>
      <c r="G91" s="11">
        <f>DistMeetingQuota[[#This Row],[Quota]]-DistMeetingQuota[[#This Row],[Actual]]</f>
        <v>2</v>
      </c>
      <c r="H91" s="12">
        <f>DistMeetingQuota[[#This Row],[Actual]]/DistMeetingQuota[[#This Row],[Quota]]</f>
        <v>0</v>
      </c>
      <c r="I91" s="4"/>
      <c r="J91" s="2"/>
      <c r="K91" s="2"/>
      <c r="L91" s="2"/>
      <c r="M91" s="2"/>
      <c r="N91" s="2"/>
      <c r="O91" s="2"/>
      <c r="P91" s="4" t="s">
        <v>60</v>
      </c>
      <c r="Q91" s="2"/>
    </row>
    <row r="92" spans="1:17" s="109" customFormat="1" ht="30">
      <c r="A92" s="4">
        <v>2013568</v>
      </c>
      <c r="B92" s="5" t="s">
        <v>104</v>
      </c>
      <c r="C92" s="4" t="s">
        <v>21</v>
      </c>
      <c r="D92" s="4" t="s">
        <v>11</v>
      </c>
      <c r="E92" s="53">
        <v>3</v>
      </c>
      <c r="F92" s="11">
        <f>SUM(DistMeetingQuota[[#This Row],[Sep]:[Feb]])</f>
        <v>3</v>
      </c>
      <c r="G92" s="11">
        <f>DistMeetingQuota[[#This Row],[Quota]]-DistMeetingQuota[[#This Row],[Actual]]</f>
        <v>0</v>
      </c>
      <c r="H92" s="12">
        <f>DistMeetingQuota[[#This Row],[Actual]]/DistMeetingQuota[[#This Row],[Quota]]</f>
        <v>1</v>
      </c>
      <c r="I92" s="4"/>
      <c r="J92" s="2">
        <v>3</v>
      </c>
      <c r="K92" s="2"/>
      <c r="L92" s="2"/>
      <c r="M92" s="2"/>
      <c r="N92" s="2"/>
      <c r="O92" s="2"/>
      <c r="P92" s="4" t="s">
        <v>14</v>
      </c>
      <c r="Q92" s="2"/>
    </row>
    <row r="93" spans="1:17" s="109" customFormat="1">
      <c r="A93" s="4">
        <v>2021456</v>
      </c>
      <c r="B93" s="5" t="s">
        <v>105</v>
      </c>
      <c r="C93" s="4" t="s">
        <v>19</v>
      </c>
      <c r="D93" s="4" t="s">
        <v>11</v>
      </c>
      <c r="E93" s="53">
        <v>2</v>
      </c>
      <c r="F93" s="11">
        <f>SUM(DistMeetingQuota[[#This Row],[Sep]:[Feb]])</f>
        <v>0</v>
      </c>
      <c r="G93" s="11">
        <f>DistMeetingQuota[[#This Row],[Quota]]-DistMeetingQuota[[#This Row],[Actual]]</f>
        <v>2</v>
      </c>
      <c r="H93" s="12">
        <f>DistMeetingQuota[[#This Row],[Actual]]/DistMeetingQuota[[#This Row],[Quota]]</f>
        <v>0</v>
      </c>
      <c r="I93" s="4"/>
      <c r="J93" s="2"/>
      <c r="K93" s="2"/>
      <c r="L93" s="2"/>
      <c r="M93" s="2"/>
      <c r="N93" s="2"/>
      <c r="O93" s="2"/>
      <c r="P93" s="4" t="s">
        <v>10</v>
      </c>
      <c r="Q93" s="2"/>
    </row>
    <row r="94" spans="1:17" s="109" customFormat="1" ht="30">
      <c r="A94" s="4">
        <v>2014223</v>
      </c>
      <c r="B94" s="5" t="s">
        <v>106</v>
      </c>
      <c r="C94" s="4" t="s">
        <v>19</v>
      </c>
      <c r="D94" s="4" t="s">
        <v>11</v>
      </c>
      <c r="E94" s="53">
        <v>2</v>
      </c>
      <c r="F94" s="11">
        <f>SUM(DistMeetingQuota[[#This Row],[Sep]:[Feb]])</f>
        <v>0</v>
      </c>
      <c r="G94" s="11">
        <f>DistMeetingQuota[[#This Row],[Quota]]-DistMeetingQuota[[#This Row],[Actual]]</f>
        <v>2</v>
      </c>
      <c r="H94" s="12">
        <f>DistMeetingQuota[[#This Row],[Actual]]/DistMeetingQuota[[#This Row],[Quota]]</f>
        <v>0</v>
      </c>
      <c r="I94" s="4"/>
      <c r="J94" s="2"/>
      <c r="K94" s="2"/>
      <c r="L94" s="2"/>
      <c r="M94" s="2"/>
      <c r="N94" s="2"/>
      <c r="O94" s="2"/>
      <c r="P94" s="4" t="s">
        <v>14</v>
      </c>
      <c r="Q94" s="2"/>
    </row>
    <row r="95" spans="1:17" s="109" customFormat="1" ht="30">
      <c r="A95" s="4">
        <v>2032834</v>
      </c>
      <c r="B95" s="5" t="s">
        <v>107</v>
      </c>
      <c r="C95" s="4" t="s">
        <v>19</v>
      </c>
      <c r="D95" s="4" t="s">
        <v>11</v>
      </c>
      <c r="E95" s="53">
        <v>2</v>
      </c>
      <c r="F95" s="11">
        <f>SUM(DistMeetingQuota[[#This Row],[Sep]:[Feb]])</f>
        <v>0</v>
      </c>
      <c r="G95" s="11">
        <f>DistMeetingQuota[[#This Row],[Quota]]-DistMeetingQuota[[#This Row],[Actual]]</f>
        <v>2</v>
      </c>
      <c r="H95" s="12">
        <f>DistMeetingQuota[[#This Row],[Actual]]/DistMeetingQuota[[#This Row],[Quota]]</f>
        <v>0</v>
      </c>
      <c r="I95" s="4"/>
      <c r="J95" s="2"/>
      <c r="K95" s="2"/>
      <c r="L95" s="2"/>
      <c r="M95" s="2"/>
      <c r="N95" s="2"/>
      <c r="O95" s="2"/>
      <c r="P95" s="4" t="s">
        <v>490</v>
      </c>
      <c r="Q95" s="2"/>
    </row>
    <row r="96" spans="1:17" s="109" customFormat="1">
      <c r="A96" s="147">
        <v>2009206</v>
      </c>
      <c r="B96" s="148" t="s">
        <v>108</v>
      </c>
      <c r="C96" s="147" t="s">
        <v>21</v>
      </c>
      <c r="D96" s="147" t="s">
        <v>11</v>
      </c>
      <c r="E96" s="150">
        <v>3</v>
      </c>
      <c r="F96" s="157">
        <f>SUM(DistMeetingQuota[[#This Row],[Sep]:[Feb]])</f>
        <v>0</v>
      </c>
      <c r="G96" s="157">
        <f>DistMeetingQuota[[#This Row],[Quota]]-DistMeetingQuota[[#This Row],[Actual]]</f>
        <v>3</v>
      </c>
      <c r="H96" s="151">
        <f>DistMeetingQuota[[#This Row],[Actual]]/DistMeetingQuota[[#This Row],[Quota]]</f>
        <v>0</v>
      </c>
      <c r="I96" s="147"/>
      <c r="J96" s="152"/>
      <c r="K96" s="152"/>
      <c r="L96" s="152"/>
      <c r="M96" s="152"/>
      <c r="N96" s="152"/>
      <c r="O96" s="152"/>
      <c r="P96" s="147" t="s">
        <v>10</v>
      </c>
      <c r="Q96" s="152"/>
    </row>
    <row r="97" spans="1:17" s="109" customFormat="1">
      <c r="A97" s="147">
        <v>2009206</v>
      </c>
      <c r="B97" s="148" t="s">
        <v>108</v>
      </c>
      <c r="C97" s="147" t="s">
        <v>21</v>
      </c>
      <c r="D97" s="147" t="s">
        <v>13</v>
      </c>
      <c r="E97" s="150">
        <v>2</v>
      </c>
      <c r="F97" s="157">
        <f>SUM(DistMeetingQuota[[#This Row],[Sep]:[Feb]])</f>
        <v>1</v>
      </c>
      <c r="G97" s="157">
        <f>DistMeetingQuota[[#This Row],[Quota]]-DistMeetingQuota[[#This Row],[Actual]]</f>
        <v>1</v>
      </c>
      <c r="H97" s="151">
        <f>DistMeetingQuota[[#This Row],[Actual]]/DistMeetingQuota[[#This Row],[Quota]]</f>
        <v>0.5</v>
      </c>
      <c r="I97" s="147"/>
      <c r="J97" s="152"/>
      <c r="K97" s="152"/>
      <c r="L97" s="152">
        <v>1</v>
      </c>
      <c r="M97" s="152"/>
      <c r="N97" s="152"/>
      <c r="O97" s="152"/>
      <c r="P97" s="147" t="s">
        <v>10</v>
      </c>
      <c r="Q97" s="152"/>
    </row>
    <row r="98" spans="1:17" s="109" customFormat="1" ht="30">
      <c r="A98" s="4">
        <v>2049426</v>
      </c>
      <c r="B98" s="5" t="s">
        <v>109</v>
      </c>
      <c r="C98" s="4" t="s">
        <v>33</v>
      </c>
      <c r="D98" s="4" t="s">
        <v>5</v>
      </c>
      <c r="E98" s="53">
        <v>24</v>
      </c>
      <c r="F98" s="11">
        <f>SUM(DistMeetingQuota[[#This Row],[Sep]:[Feb]])</f>
        <v>2</v>
      </c>
      <c r="G98" s="11">
        <f>DistMeetingQuota[[#This Row],[Quota]]-DistMeetingQuota[[#This Row],[Actual]]</f>
        <v>22</v>
      </c>
      <c r="H98" s="12">
        <f>DistMeetingQuota[[#This Row],[Actual]]/DistMeetingQuota[[#This Row],[Quota]]</f>
        <v>8.3333333333333329E-2</v>
      </c>
      <c r="I98" s="4"/>
      <c r="J98" s="2"/>
      <c r="K98" s="2"/>
      <c r="L98" s="2">
        <v>1</v>
      </c>
      <c r="M98" s="2">
        <v>1</v>
      </c>
      <c r="N98" s="2"/>
      <c r="O98" s="2"/>
      <c r="P98" s="4" t="s">
        <v>6</v>
      </c>
      <c r="Q98" s="2"/>
    </row>
    <row r="99" spans="1:17" s="109" customFormat="1" ht="30">
      <c r="A99" s="4">
        <v>2049426</v>
      </c>
      <c r="B99" s="5" t="s">
        <v>109</v>
      </c>
      <c r="C99" s="4" t="s">
        <v>33</v>
      </c>
      <c r="D99" s="4" t="s">
        <v>11</v>
      </c>
      <c r="E99" s="53">
        <v>2</v>
      </c>
      <c r="F99" s="11">
        <f>SUM(DistMeetingQuota[[#This Row],[Sep]:[Feb]])</f>
        <v>1</v>
      </c>
      <c r="G99" s="11">
        <f>DistMeetingQuota[[#This Row],[Quota]]-DistMeetingQuota[[#This Row],[Actual]]</f>
        <v>1</v>
      </c>
      <c r="H99" s="12">
        <f>DistMeetingQuota[[#This Row],[Actual]]/DistMeetingQuota[[#This Row],[Quota]]</f>
        <v>0.5</v>
      </c>
      <c r="I99" s="4"/>
      <c r="J99" s="2"/>
      <c r="K99" s="2">
        <v>1</v>
      </c>
      <c r="L99" s="2"/>
      <c r="M99" s="2"/>
      <c r="N99" s="2"/>
      <c r="O99" s="2"/>
      <c r="P99" s="4" t="s">
        <v>6</v>
      </c>
      <c r="Q99" s="2"/>
    </row>
    <row r="100" spans="1:17" s="109" customFormat="1" ht="30">
      <c r="A100" s="4">
        <v>2039629</v>
      </c>
      <c r="B100" s="5" t="s">
        <v>110</v>
      </c>
      <c r="C100" s="4" t="s">
        <v>285</v>
      </c>
      <c r="D100" s="4" t="s">
        <v>11</v>
      </c>
      <c r="E100" s="53">
        <v>2</v>
      </c>
      <c r="F100" s="11">
        <f>SUM(DistMeetingQuota[[#This Row],[Sep]:[Feb]])</f>
        <v>0</v>
      </c>
      <c r="G100" s="11">
        <f>DistMeetingQuota[[#This Row],[Quota]]-DistMeetingQuota[[#This Row],[Actual]]</f>
        <v>2</v>
      </c>
      <c r="H100" s="12">
        <f>DistMeetingQuota[[#This Row],[Actual]]/DistMeetingQuota[[#This Row],[Quota]]</f>
        <v>0</v>
      </c>
      <c r="I100" s="4"/>
      <c r="J100" s="2"/>
      <c r="K100" s="2"/>
      <c r="L100" s="2"/>
      <c r="M100" s="2"/>
      <c r="N100" s="2"/>
      <c r="O100" s="2"/>
      <c r="P100" s="4" t="s">
        <v>14</v>
      </c>
      <c r="Q100" s="2"/>
    </row>
    <row r="101" spans="1:17" s="109" customFormat="1">
      <c r="A101" s="4">
        <v>2026646</v>
      </c>
      <c r="B101" s="5" t="s">
        <v>111</v>
      </c>
      <c r="C101" s="4" t="s">
        <v>21</v>
      </c>
      <c r="D101" s="4" t="s">
        <v>11</v>
      </c>
      <c r="E101" s="53">
        <v>3</v>
      </c>
      <c r="F101" s="11">
        <f>SUM(DistMeetingQuota[[#This Row],[Sep]:[Feb]])</f>
        <v>0</v>
      </c>
      <c r="G101" s="11">
        <f>DistMeetingQuota[[#This Row],[Quota]]-DistMeetingQuota[[#This Row],[Actual]]</f>
        <v>3</v>
      </c>
      <c r="H101" s="12">
        <f>DistMeetingQuota[[#This Row],[Actual]]/DistMeetingQuota[[#This Row],[Quota]]</f>
        <v>0</v>
      </c>
      <c r="I101" s="4"/>
      <c r="J101" s="2"/>
      <c r="K101" s="2"/>
      <c r="L101" s="2"/>
      <c r="M101" s="2"/>
      <c r="N101" s="2"/>
      <c r="O101" s="2"/>
      <c r="P101" s="140" t="s">
        <v>55</v>
      </c>
      <c r="Q101" s="2"/>
    </row>
    <row r="102" spans="1:17" s="109" customFormat="1">
      <c r="A102" s="4">
        <v>2026646</v>
      </c>
      <c r="B102" s="5" t="s">
        <v>111</v>
      </c>
      <c r="C102" s="4" t="s">
        <v>21</v>
      </c>
      <c r="D102" s="4" t="s">
        <v>13</v>
      </c>
      <c r="E102" s="53">
        <v>2</v>
      </c>
      <c r="F102" s="11">
        <f>SUM(DistMeetingQuota[[#This Row],[Sep]:[Feb]])</f>
        <v>1</v>
      </c>
      <c r="G102" s="11">
        <f>DistMeetingQuota[[#This Row],[Quota]]-DistMeetingQuota[[#This Row],[Actual]]</f>
        <v>1</v>
      </c>
      <c r="H102" s="49">
        <f>DistMeetingQuota[[#This Row],[Actual]]/DistMeetingQuota[[#This Row],[Quota]]</f>
        <v>0.5</v>
      </c>
      <c r="I102" s="4">
        <v>1</v>
      </c>
      <c r="J102" s="2"/>
      <c r="K102" s="2"/>
      <c r="L102" s="2"/>
      <c r="M102" s="2"/>
      <c r="N102" s="2"/>
      <c r="O102" s="2"/>
      <c r="P102" s="140" t="s">
        <v>55</v>
      </c>
      <c r="Q102" s="2"/>
    </row>
    <row r="103" spans="1:17" s="109" customFormat="1" ht="30">
      <c r="A103" s="4">
        <v>2023658</v>
      </c>
      <c r="B103" s="5" t="s">
        <v>112</v>
      </c>
      <c r="C103" s="4" t="s">
        <v>33</v>
      </c>
      <c r="D103" s="4" t="s">
        <v>11</v>
      </c>
      <c r="E103" s="53">
        <v>2</v>
      </c>
      <c r="F103" s="11">
        <f>SUM(DistMeetingQuota[[#This Row],[Sep]:[Feb]])</f>
        <v>0</v>
      </c>
      <c r="G103" s="11">
        <f>DistMeetingQuota[[#This Row],[Quota]]-DistMeetingQuota[[#This Row],[Actual]]</f>
        <v>2</v>
      </c>
      <c r="H103" s="12">
        <f>DistMeetingQuota[[#This Row],[Actual]]/DistMeetingQuota[[#This Row],[Quota]]</f>
        <v>0</v>
      </c>
      <c r="I103" s="4"/>
      <c r="J103" s="2"/>
      <c r="K103" s="2"/>
      <c r="L103" s="2"/>
      <c r="M103" s="2"/>
      <c r="N103" s="2"/>
      <c r="O103" s="2"/>
      <c r="P103" s="4" t="s">
        <v>61</v>
      </c>
      <c r="Q103" s="2"/>
    </row>
    <row r="104" spans="1:17" s="109" customFormat="1" ht="30">
      <c r="A104" s="4">
        <v>2023658</v>
      </c>
      <c r="B104" s="5" t="s">
        <v>112</v>
      </c>
      <c r="C104" s="4" t="s">
        <v>33</v>
      </c>
      <c r="D104" s="4" t="s">
        <v>5</v>
      </c>
      <c r="E104" s="53">
        <v>24</v>
      </c>
      <c r="F104" s="11">
        <f>SUM(DistMeetingQuota[[#This Row],[Sep]:[Feb]])</f>
        <v>0</v>
      </c>
      <c r="G104" s="11">
        <f>DistMeetingQuota[[#This Row],[Quota]]-DistMeetingQuota[[#This Row],[Actual]]</f>
        <v>24</v>
      </c>
      <c r="H104" s="49">
        <f>DistMeetingQuota[[#This Row],[Actual]]/DistMeetingQuota[[#This Row],[Quota]]</f>
        <v>0</v>
      </c>
      <c r="I104" s="4"/>
      <c r="J104" s="2"/>
      <c r="K104" s="2"/>
      <c r="L104" s="2"/>
      <c r="M104" s="2"/>
      <c r="N104" s="2"/>
      <c r="O104" s="2"/>
      <c r="P104" s="4" t="s">
        <v>61</v>
      </c>
      <c r="Q104" s="2"/>
    </row>
    <row r="105" spans="1:17" s="109" customFormat="1">
      <c r="A105" s="4">
        <v>2010471</v>
      </c>
      <c r="B105" s="5" t="s">
        <v>113</v>
      </c>
      <c r="C105" s="4" t="s">
        <v>21</v>
      </c>
      <c r="D105" s="4" t="s">
        <v>11</v>
      </c>
      <c r="E105" s="53">
        <v>3</v>
      </c>
      <c r="F105" s="11">
        <f>SUM(DistMeetingQuota[[#This Row],[Sep]:[Feb]])</f>
        <v>2</v>
      </c>
      <c r="G105" s="11">
        <f>DistMeetingQuota[[#This Row],[Quota]]-DistMeetingQuota[[#This Row],[Actual]]</f>
        <v>1</v>
      </c>
      <c r="H105" s="12">
        <f>DistMeetingQuota[[#This Row],[Actual]]/DistMeetingQuota[[#This Row],[Quota]]</f>
        <v>0.66666666666666663</v>
      </c>
      <c r="I105" s="4">
        <v>1</v>
      </c>
      <c r="J105" s="2"/>
      <c r="K105" s="2">
        <v>1</v>
      </c>
      <c r="L105" s="2"/>
      <c r="M105" s="2"/>
      <c r="N105" s="2"/>
      <c r="O105" s="2"/>
      <c r="P105" s="4" t="s">
        <v>14</v>
      </c>
      <c r="Q105" s="2"/>
    </row>
    <row r="106" spans="1:17" s="109" customFormat="1">
      <c r="A106" s="4">
        <v>2010471</v>
      </c>
      <c r="B106" s="5" t="s">
        <v>113</v>
      </c>
      <c r="C106" s="4" t="s">
        <v>21</v>
      </c>
      <c r="D106" s="4" t="s">
        <v>13</v>
      </c>
      <c r="E106" s="53">
        <v>2</v>
      </c>
      <c r="F106" s="11">
        <f>SUM(DistMeetingQuota[[#This Row],[Sep]:[Feb]])</f>
        <v>0</v>
      </c>
      <c r="G106" s="11">
        <f>DistMeetingQuota[[#This Row],[Quota]]-DistMeetingQuota[[#This Row],[Actual]]</f>
        <v>2</v>
      </c>
      <c r="H106" s="12">
        <f>DistMeetingQuota[[#This Row],[Actual]]/DistMeetingQuota[[#This Row],[Quota]]</f>
        <v>0</v>
      </c>
      <c r="I106" s="4"/>
      <c r="J106" s="2"/>
      <c r="K106" s="2"/>
      <c r="L106" s="2"/>
      <c r="M106" s="2"/>
      <c r="N106" s="2"/>
      <c r="O106" s="2"/>
      <c r="P106" s="4" t="s">
        <v>14</v>
      </c>
      <c r="Q106" s="2"/>
    </row>
    <row r="107" spans="1:17" s="109" customFormat="1" ht="30">
      <c r="A107" s="4">
        <v>2020328</v>
      </c>
      <c r="B107" s="5" t="s">
        <v>114</v>
      </c>
      <c r="C107" s="4" t="s">
        <v>19</v>
      </c>
      <c r="D107" s="4" t="s">
        <v>11</v>
      </c>
      <c r="E107" s="53">
        <v>2</v>
      </c>
      <c r="F107" s="11">
        <f>SUM(DistMeetingQuota[[#This Row],[Sep]:[Feb]])</f>
        <v>0</v>
      </c>
      <c r="G107" s="11">
        <f>DistMeetingQuota[[#This Row],[Quota]]-DistMeetingQuota[[#This Row],[Actual]]</f>
        <v>2</v>
      </c>
      <c r="H107" s="12">
        <f>DistMeetingQuota[[#This Row],[Actual]]/DistMeetingQuota[[#This Row],[Quota]]</f>
        <v>0</v>
      </c>
      <c r="I107" s="4"/>
      <c r="J107" s="2"/>
      <c r="K107" s="2"/>
      <c r="L107" s="2"/>
      <c r="M107" s="2"/>
      <c r="N107" s="2"/>
      <c r="O107" s="2"/>
      <c r="P107" s="4" t="s">
        <v>14</v>
      </c>
      <c r="Q107" s="2"/>
    </row>
    <row r="108" spans="1:17" s="109" customFormat="1" ht="30">
      <c r="A108" s="4">
        <v>2020864</v>
      </c>
      <c r="B108" s="5" t="s">
        <v>115</v>
      </c>
      <c r="C108" s="4" t="s">
        <v>285</v>
      </c>
      <c r="D108" s="4" t="s">
        <v>11</v>
      </c>
      <c r="E108" s="53">
        <v>2</v>
      </c>
      <c r="F108" s="11">
        <f>SUM(DistMeetingQuota[[#This Row],[Sep]:[Feb]])</f>
        <v>0</v>
      </c>
      <c r="G108" s="11">
        <f>DistMeetingQuota[[#This Row],[Quota]]-DistMeetingQuota[[#This Row],[Actual]]</f>
        <v>2</v>
      </c>
      <c r="H108" s="12">
        <f>DistMeetingQuota[[#This Row],[Actual]]/DistMeetingQuota[[#This Row],[Quota]]</f>
        <v>0</v>
      </c>
      <c r="I108" s="4"/>
      <c r="J108" s="2"/>
      <c r="K108" s="2"/>
      <c r="L108" s="2"/>
      <c r="M108" s="2"/>
      <c r="N108" s="2"/>
      <c r="O108" s="2"/>
      <c r="P108" s="4" t="s">
        <v>14</v>
      </c>
      <c r="Q108" s="2"/>
    </row>
    <row r="109" spans="1:17" s="109" customFormat="1">
      <c r="A109" s="4">
        <v>2009638</v>
      </c>
      <c r="B109" s="5" t="s">
        <v>116</v>
      </c>
      <c r="C109" s="4" t="s">
        <v>286</v>
      </c>
      <c r="D109" s="4" t="s">
        <v>11</v>
      </c>
      <c r="E109" s="53">
        <v>2</v>
      </c>
      <c r="F109" s="11">
        <f>SUM(DistMeetingQuota[[#This Row],[Sep]:[Feb]])</f>
        <v>2</v>
      </c>
      <c r="G109" s="11">
        <f>DistMeetingQuota[[#This Row],[Quota]]-DistMeetingQuota[[#This Row],[Actual]]</f>
        <v>0</v>
      </c>
      <c r="H109" s="12">
        <f>DistMeetingQuota[[#This Row],[Actual]]/DistMeetingQuota[[#This Row],[Quota]]</f>
        <v>1</v>
      </c>
      <c r="I109" s="4"/>
      <c r="J109" s="2"/>
      <c r="K109" s="2"/>
      <c r="L109" s="2">
        <v>2</v>
      </c>
      <c r="M109" s="2"/>
      <c r="N109" s="2"/>
      <c r="O109" s="2"/>
      <c r="P109" s="4" t="s">
        <v>10</v>
      </c>
      <c r="Q109" s="2"/>
    </row>
    <row r="110" spans="1:17" s="109" customFormat="1">
      <c r="A110" s="4">
        <v>2009159</v>
      </c>
      <c r="B110" s="5" t="s">
        <v>117</v>
      </c>
      <c r="C110" s="4" t="s">
        <v>21</v>
      </c>
      <c r="D110" s="4" t="s">
        <v>11</v>
      </c>
      <c r="E110" s="53">
        <v>3</v>
      </c>
      <c r="F110" s="11">
        <f>SUM(DistMeetingQuota[[#This Row],[Sep]:[Feb]])</f>
        <v>1</v>
      </c>
      <c r="G110" s="11">
        <f>DistMeetingQuota[[#This Row],[Quota]]-DistMeetingQuota[[#This Row],[Actual]]</f>
        <v>2</v>
      </c>
      <c r="H110" s="12">
        <f>DistMeetingQuota[[#This Row],[Actual]]/DistMeetingQuota[[#This Row],[Quota]]</f>
        <v>0.33333333333333331</v>
      </c>
      <c r="I110" s="4">
        <v>1</v>
      </c>
      <c r="J110" s="2"/>
      <c r="K110" s="2"/>
      <c r="L110" s="2"/>
      <c r="M110" s="2"/>
      <c r="N110" s="2"/>
      <c r="O110" s="2"/>
      <c r="P110" s="4" t="s">
        <v>10</v>
      </c>
      <c r="Q110" s="2"/>
    </row>
    <row r="111" spans="1:17" s="109" customFormat="1">
      <c r="A111" s="4">
        <v>2009159</v>
      </c>
      <c r="B111" s="5" t="s">
        <v>117</v>
      </c>
      <c r="C111" s="4" t="s">
        <v>21</v>
      </c>
      <c r="D111" s="4" t="s">
        <v>13</v>
      </c>
      <c r="E111" s="53">
        <v>2</v>
      </c>
      <c r="F111" s="11">
        <f>SUM(DistMeetingQuota[[#This Row],[Sep]:[Feb]])</f>
        <v>1</v>
      </c>
      <c r="G111" s="11">
        <f>DistMeetingQuota[[#This Row],[Quota]]-DistMeetingQuota[[#This Row],[Actual]]</f>
        <v>1</v>
      </c>
      <c r="H111" s="12">
        <f>DistMeetingQuota[[#This Row],[Actual]]/DistMeetingQuota[[#This Row],[Quota]]</f>
        <v>0.5</v>
      </c>
      <c r="I111" s="4"/>
      <c r="J111" s="2"/>
      <c r="K111" s="2"/>
      <c r="L111" s="2">
        <v>1</v>
      </c>
      <c r="M111" s="2"/>
      <c r="N111" s="2"/>
      <c r="O111" s="2"/>
      <c r="P111" s="4" t="s">
        <v>10</v>
      </c>
      <c r="Q111" s="2"/>
    </row>
    <row r="112" spans="1:17" s="109" customFormat="1">
      <c r="A112" s="4">
        <v>2010508</v>
      </c>
      <c r="B112" s="5" t="s">
        <v>118</v>
      </c>
      <c r="C112" s="4" t="s">
        <v>286</v>
      </c>
      <c r="D112" s="4" t="s">
        <v>11</v>
      </c>
      <c r="E112" s="53">
        <v>2</v>
      </c>
      <c r="F112" s="11">
        <f>SUM(DistMeetingQuota[[#This Row],[Sep]:[Feb]])</f>
        <v>2</v>
      </c>
      <c r="G112" s="11">
        <f>DistMeetingQuota[[#This Row],[Quota]]-DistMeetingQuota[[#This Row],[Actual]]</f>
        <v>0</v>
      </c>
      <c r="H112" s="12">
        <f>DistMeetingQuota[[#This Row],[Actual]]/DistMeetingQuota[[#This Row],[Quota]]</f>
        <v>1</v>
      </c>
      <c r="I112" s="4"/>
      <c r="J112" s="2"/>
      <c r="K112" s="2"/>
      <c r="L112" s="2">
        <v>2</v>
      </c>
      <c r="M112" s="2"/>
      <c r="N112" s="2"/>
      <c r="O112" s="2"/>
      <c r="P112" s="4" t="s">
        <v>10</v>
      </c>
      <c r="Q112" s="2"/>
    </row>
    <row r="113" spans="1:17" s="109" customFormat="1">
      <c r="A113" s="4">
        <v>2017421</v>
      </c>
      <c r="B113" s="5" t="s">
        <v>119</v>
      </c>
      <c r="C113" s="4" t="s">
        <v>286</v>
      </c>
      <c r="D113" s="4" t="s">
        <v>11</v>
      </c>
      <c r="E113" s="53">
        <v>2</v>
      </c>
      <c r="F113" s="11">
        <f>SUM(DistMeetingQuota[[#This Row],[Sep]:[Feb]])</f>
        <v>0</v>
      </c>
      <c r="G113" s="11">
        <f>DistMeetingQuota[[#This Row],[Quota]]-DistMeetingQuota[[#This Row],[Actual]]</f>
        <v>2</v>
      </c>
      <c r="H113" s="12">
        <f>DistMeetingQuota[[#This Row],[Actual]]/DistMeetingQuota[[#This Row],[Quota]]</f>
        <v>0</v>
      </c>
      <c r="I113" s="4"/>
      <c r="J113" s="2"/>
      <c r="K113" s="2"/>
      <c r="L113" s="2"/>
      <c r="M113" s="2"/>
      <c r="N113" s="2"/>
      <c r="O113" s="2"/>
      <c r="P113" s="4" t="s">
        <v>10</v>
      </c>
      <c r="Q113" s="2"/>
    </row>
    <row r="114" spans="1:17" s="109" customFormat="1">
      <c r="A114" s="4">
        <v>2027182</v>
      </c>
      <c r="B114" s="5" t="s">
        <v>120</v>
      </c>
      <c r="C114" s="4" t="s">
        <v>33</v>
      </c>
      <c r="D114" s="4" t="s">
        <v>11</v>
      </c>
      <c r="E114" s="53">
        <v>2</v>
      </c>
      <c r="F114" s="11">
        <f>SUM(DistMeetingQuota[[#This Row],[Sep]:[Feb]])</f>
        <v>0</v>
      </c>
      <c r="G114" s="11">
        <f>DistMeetingQuota[[#This Row],[Quota]]-DistMeetingQuota[[#This Row],[Actual]]</f>
        <v>2</v>
      </c>
      <c r="H114" s="12">
        <f>DistMeetingQuota[[#This Row],[Actual]]/DistMeetingQuota[[#This Row],[Quota]]</f>
        <v>0</v>
      </c>
      <c r="I114" s="4"/>
      <c r="J114" s="2"/>
      <c r="K114" s="2"/>
      <c r="L114" s="2"/>
      <c r="M114" s="2"/>
      <c r="N114" s="2"/>
      <c r="O114" s="2"/>
      <c r="P114" s="4" t="s">
        <v>472</v>
      </c>
      <c r="Q114" s="2"/>
    </row>
    <row r="115" spans="1:17" s="109" customFormat="1">
      <c r="A115" s="4">
        <v>2027182</v>
      </c>
      <c r="B115" s="5" t="s">
        <v>120</v>
      </c>
      <c r="C115" s="4" t="s">
        <v>33</v>
      </c>
      <c r="D115" s="4" t="s">
        <v>5</v>
      </c>
      <c r="E115" s="53">
        <v>24</v>
      </c>
      <c r="F115" s="11">
        <f>SUM(DistMeetingQuota[[#This Row],[Sep]:[Feb]])</f>
        <v>7</v>
      </c>
      <c r="G115" s="11">
        <f>DistMeetingQuota[[#This Row],[Quota]]-DistMeetingQuota[[#This Row],[Actual]]</f>
        <v>17</v>
      </c>
      <c r="H115" s="12">
        <f>DistMeetingQuota[[#This Row],[Actual]]/DistMeetingQuota[[#This Row],[Quota]]</f>
        <v>0.29166666666666669</v>
      </c>
      <c r="I115" s="4"/>
      <c r="J115" s="2"/>
      <c r="K115" s="2">
        <v>2</v>
      </c>
      <c r="L115" s="2"/>
      <c r="M115" s="2">
        <v>5</v>
      </c>
      <c r="N115" s="2"/>
      <c r="O115" s="2"/>
      <c r="P115" s="4" t="s">
        <v>472</v>
      </c>
      <c r="Q115" s="2"/>
    </row>
    <row r="116" spans="1:17" s="109" customFormat="1">
      <c r="A116" s="4">
        <v>2024031</v>
      </c>
      <c r="B116" s="5" t="s">
        <v>121</v>
      </c>
      <c r="C116" s="4" t="s">
        <v>21</v>
      </c>
      <c r="D116" s="4" t="s">
        <v>11</v>
      </c>
      <c r="E116" s="53">
        <v>3</v>
      </c>
      <c r="F116" s="11">
        <f>SUM(DistMeetingQuota[[#This Row],[Sep]:[Feb]])</f>
        <v>3</v>
      </c>
      <c r="G116" s="11">
        <f>DistMeetingQuota[[#This Row],[Quota]]-DistMeetingQuota[[#This Row],[Actual]]</f>
        <v>0</v>
      </c>
      <c r="H116" s="12">
        <f>DistMeetingQuota[[#This Row],[Actual]]/DistMeetingQuota[[#This Row],[Quota]]</f>
        <v>1</v>
      </c>
      <c r="I116" s="4"/>
      <c r="J116" s="2"/>
      <c r="K116" s="2"/>
      <c r="L116" s="2">
        <v>1</v>
      </c>
      <c r="M116" s="2">
        <v>2</v>
      </c>
      <c r="N116" s="2"/>
      <c r="O116" s="2"/>
      <c r="P116" s="4" t="s">
        <v>64</v>
      </c>
      <c r="Q116" s="2"/>
    </row>
    <row r="117" spans="1:17" s="109" customFormat="1">
      <c r="A117" s="4">
        <v>2009739</v>
      </c>
      <c r="B117" s="5" t="s">
        <v>122</v>
      </c>
      <c r="C117" s="4" t="s">
        <v>21</v>
      </c>
      <c r="D117" s="4" t="s">
        <v>11</v>
      </c>
      <c r="E117" s="53">
        <v>3</v>
      </c>
      <c r="F117" s="11">
        <f>SUM(DistMeetingQuota[[#This Row],[Sep]:[Feb]])</f>
        <v>0</v>
      </c>
      <c r="G117" s="11">
        <f>DistMeetingQuota[[#This Row],[Quota]]-DistMeetingQuota[[#This Row],[Actual]]</f>
        <v>3</v>
      </c>
      <c r="H117" s="12">
        <f>DistMeetingQuota[[#This Row],[Actual]]/DistMeetingQuota[[#This Row],[Quota]]</f>
        <v>0</v>
      </c>
      <c r="I117" s="4"/>
      <c r="J117" s="2"/>
      <c r="K117" s="2"/>
      <c r="L117" s="2"/>
      <c r="M117" s="2"/>
      <c r="N117" s="2"/>
      <c r="O117" s="4"/>
      <c r="P117" s="4" t="s">
        <v>10</v>
      </c>
      <c r="Q117" s="2"/>
    </row>
    <row r="118" spans="1:17" s="109" customFormat="1">
      <c r="A118" s="4">
        <v>2009739</v>
      </c>
      <c r="B118" s="5" t="s">
        <v>122</v>
      </c>
      <c r="C118" s="4" t="s">
        <v>21</v>
      </c>
      <c r="D118" s="4" t="s">
        <v>13</v>
      </c>
      <c r="E118" s="53">
        <v>2</v>
      </c>
      <c r="F118" s="11">
        <f>SUM(DistMeetingQuota[[#This Row],[Sep]:[Feb]])</f>
        <v>2</v>
      </c>
      <c r="G118" s="11">
        <f>DistMeetingQuota[[#This Row],[Quota]]-DistMeetingQuota[[#This Row],[Actual]]</f>
        <v>0</v>
      </c>
      <c r="H118" s="12">
        <f>DistMeetingQuota[[#This Row],[Actual]]/DistMeetingQuota[[#This Row],[Quota]]</f>
        <v>1</v>
      </c>
      <c r="I118" s="4"/>
      <c r="J118" s="2"/>
      <c r="K118" s="2">
        <v>2</v>
      </c>
      <c r="L118" s="2"/>
      <c r="M118" s="2"/>
      <c r="N118" s="2"/>
      <c r="O118" s="2"/>
      <c r="P118" s="4" t="s">
        <v>10</v>
      </c>
      <c r="Q118" s="2"/>
    </row>
    <row r="119" spans="1:17" s="109" customFormat="1" ht="30">
      <c r="A119" s="4">
        <v>2017126</v>
      </c>
      <c r="B119" s="5" t="s">
        <v>123</v>
      </c>
      <c r="C119" s="4" t="s">
        <v>286</v>
      </c>
      <c r="D119" s="4" t="s">
        <v>11</v>
      </c>
      <c r="E119" s="53">
        <v>2</v>
      </c>
      <c r="F119" s="11">
        <f>SUM(DistMeetingQuota[[#This Row],[Sep]:[Feb]])</f>
        <v>0</v>
      </c>
      <c r="G119" s="11">
        <f>DistMeetingQuota[[#This Row],[Quota]]-DistMeetingQuota[[#This Row],[Actual]]</f>
        <v>2</v>
      </c>
      <c r="H119" s="12">
        <f>DistMeetingQuota[[#This Row],[Actual]]/DistMeetingQuota[[#This Row],[Quota]]</f>
        <v>0</v>
      </c>
      <c r="I119" s="4"/>
      <c r="J119" s="2"/>
      <c r="K119" s="2"/>
      <c r="L119" s="2"/>
      <c r="M119" s="2"/>
      <c r="N119" s="2"/>
      <c r="O119" s="2"/>
      <c r="P119" s="4" t="s">
        <v>14</v>
      </c>
      <c r="Q119" s="2"/>
    </row>
    <row r="120" spans="1:17" s="109" customFormat="1" ht="30">
      <c r="A120" s="4">
        <v>2013506</v>
      </c>
      <c r="B120" s="5" t="s">
        <v>124</v>
      </c>
      <c r="C120" s="4" t="s">
        <v>286</v>
      </c>
      <c r="D120" s="4" t="s">
        <v>11</v>
      </c>
      <c r="E120" s="53">
        <v>2</v>
      </c>
      <c r="F120" s="11">
        <f>SUM(DistMeetingQuota[[#This Row],[Sep]:[Feb]])</f>
        <v>0</v>
      </c>
      <c r="G120" s="11">
        <f>DistMeetingQuota[[#This Row],[Quota]]-DistMeetingQuota[[#This Row],[Actual]]</f>
        <v>2</v>
      </c>
      <c r="H120" s="12">
        <f>DistMeetingQuota[[#This Row],[Actual]]/DistMeetingQuota[[#This Row],[Quota]]</f>
        <v>0</v>
      </c>
      <c r="I120" s="4"/>
      <c r="J120" s="2"/>
      <c r="K120" s="2"/>
      <c r="L120" s="2"/>
      <c r="M120" s="2"/>
      <c r="N120" s="2"/>
      <c r="O120" s="2"/>
      <c r="P120" s="4" t="s">
        <v>14</v>
      </c>
      <c r="Q120" s="2"/>
    </row>
    <row r="121" spans="1:17" s="109" customFormat="1" ht="30">
      <c r="A121" s="4">
        <v>2027955</v>
      </c>
      <c r="B121" s="5" t="s">
        <v>125</v>
      </c>
      <c r="C121" s="4" t="s">
        <v>286</v>
      </c>
      <c r="D121" s="4" t="s">
        <v>11</v>
      </c>
      <c r="E121" s="53">
        <v>2</v>
      </c>
      <c r="F121" s="11">
        <f>SUM(DistMeetingQuota[[#This Row],[Sep]:[Feb]])</f>
        <v>0</v>
      </c>
      <c r="G121" s="11">
        <f>DistMeetingQuota[[#This Row],[Quota]]-DistMeetingQuota[[#This Row],[Actual]]</f>
        <v>2</v>
      </c>
      <c r="H121" s="12">
        <f>DistMeetingQuota[[#This Row],[Actual]]/DistMeetingQuota[[#This Row],[Quota]]</f>
        <v>0</v>
      </c>
      <c r="I121" s="4"/>
      <c r="J121" s="2"/>
      <c r="K121" s="2"/>
      <c r="L121" s="2"/>
      <c r="M121" s="2"/>
      <c r="N121" s="2"/>
      <c r="O121" s="2"/>
      <c r="P121" s="4" t="s">
        <v>14</v>
      </c>
      <c r="Q121" s="2"/>
    </row>
    <row r="122" spans="1:17" s="109" customFormat="1">
      <c r="A122" s="4">
        <v>2025241</v>
      </c>
      <c r="B122" s="5" t="s">
        <v>126</v>
      </c>
      <c r="C122" s="4" t="s">
        <v>286</v>
      </c>
      <c r="D122" s="4" t="s">
        <v>11</v>
      </c>
      <c r="E122" s="53">
        <v>2</v>
      </c>
      <c r="F122" s="11">
        <f>SUM(DistMeetingQuota[[#This Row],[Sep]:[Feb]])</f>
        <v>0</v>
      </c>
      <c r="G122" s="11">
        <f>DistMeetingQuota[[#This Row],[Quota]]-DistMeetingQuota[[#This Row],[Actual]]</f>
        <v>2</v>
      </c>
      <c r="H122" s="12">
        <f>DistMeetingQuota[[#This Row],[Actual]]/DistMeetingQuota[[#This Row],[Quota]]</f>
        <v>0</v>
      </c>
      <c r="I122" s="4"/>
      <c r="J122" s="2"/>
      <c r="K122" s="2"/>
      <c r="L122" s="2"/>
      <c r="M122" s="2"/>
      <c r="N122" s="2"/>
      <c r="O122" s="2"/>
      <c r="P122" s="4" t="s">
        <v>14</v>
      </c>
      <c r="Q122" s="2"/>
    </row>
    <row r="123" spans="1:17" s="109" customFormat="1">
      <c r="A123" s="4">
        <v>2014200</v>
      </c>
      <c r="B123" s="5" t="s">
        <v>127</v>
      </c>
      <c r="C123" s="4" t="s">
        <v>33</v>
      </c>
      <c r="D123" s="4" t="s">
        <v>11</v>
      </c>
      <c r="E123" s="53">
        <v>2</v>
      </c>
      <c r="F123" s="11">
        <f>SUM(DistMeetingQuota[[#This Row],[Sep]:[Feb]])</f>
        <v>0</v>
      </c>
      <c r="G123" s="11">
        <f>DistMeetingQuota[[#This Row],[Quota]]-DistMeetingQuota[[#This Row],[Actual]]</f>
        <v>2</v>
      </c>
      <c r="H123" s="12">
        <f>DistMeetingQuota[[#This Row],[Actual]]/DistMeetingQuota[[#This Row],[Quota]]</f>
        <v>0</v>
      </c>
      <c r="I123" s="4"/>
      <c r="J123" s="2"/>
      <c r="K123" s="2"/>
      <c r="L123" s="2"/>
      <c r="M123" s="2"/>
      <c r="N123" s="2"/>
      <c r="O123" s="2"/>
      <c r="P123" s="4" t="s">
        <v>14</v>
      </c>
      <c r="Q123" s="2"/>
    </row>
    <row r="124" spans="1:17" s="109" customFormat="1" ht="30">
      <c r="A124" s="4">
        <v>2009468</v>
      </c>
      <c r="B124" s="5" t="s">
        <v>128</v>
      </c>
      <c r="C124" s="4" t="s">
        <v>286</v>
      </c>
      <c r="D124" s="4" t="s">
        <v>11</v>
      </c>
      <c r="E124" s="53">
        <v>2</v>
      </c>
      <c r="F124" s="11">
        <f>SUM(DistMeetingQuota[[#This Row],[Sep]:[Feb]])</f>
        <v>0</v>
      </c>
      <c r="G124" s="11">
        <f>DistMeetingQuota[[#This Row],[Quota]]-DistMeetingQuota[[#This Row],[Actual]]</f>
        <v>2</v>
      </c>
      <c r="H124" s="12">
        <f>DistMeetingQuota[[#This Row],[Actual]]/DistMeetingQuota[[#This Row],[Quota]]</f>
        <v>0</v>
      </c>
      <c r="I124" s="4"/>
      <c r="J124" s="2"/>
      <c r="K124" s="2"/>
      <c r="L124" s="2"/>
      <c r="M124" s="2"/>
      <c r="N124" s="2"/>
      <c r="O124" s="2"/>
      <c r="P124" s="4" t="s">
        <v>10</v>
      </c>
      <c r="Q124" s="2"/>
    </row>
    <row r="125" spans="1:17" s="154" customFormat="1" ht="30">
      <c r="A125" s="147">
        <v>2009210</v>
      </c>
      <c r="B125" s="148" t="s">
        <v>129</v>
      </c>
      <c r="C125" s="147" t="s">
        <v>21</v>
      </c>
      <c r="D125" s="147" t="s">
        <v>11</v>
      </c>
      <c r="E125" s="150">
        <v>1</v>
      </c>
      <c r="F125" s="157">
        <f>SUM(DistMeetingQuota[[#This Row],[Sep]:[Feb]])</f>
        <v>1</v>
      </c>
      <c r="G125" s="157">
        <f>DistMeetingQuota[[#This Row],[Quota]]-DistMeetingQuota[[#This Row],[Actual]]</f>
        <v>0</v>
      </c>
      <c r="H125" s="151">
        <f>DistMeetingQuota[[#This Row],[Actual]]/DistMeetingQuota[[#This Row],[Quota]]</f>
        <v>1</v>
      </c>
      <c r="I125" s="147"/>
      <c r="J125" s="152">
        <v>1</v>
      </c>
      <c r="K125" s="152"/>
      <c r="L125" s="152"/>
      <c r="M125" s="152"/>
      <c r="N125" s="152"/>
      <c r="O125" s="152"/>
      <c r="P125" s="147" t="s">
        <v>10</v>
      </c>
      <c r="Q125" s="152"/>
    </row>
    <row r="126" spans="1:17" s="109" customFormat="1" ht="30">
      <c r="A126" s="4">
        <v>2009210</v>
      </c>
      <c r="B126" s="5" t="s">
        <v>129</v>
      </c>
      <c r="C126" s="4" t="s">
        <v>33</v>
      </c>
      <c r="D126" s="4" t="s">
        <v>11</v>
      </c>
      <c r="E126" s="53">
        <v>2</v>
      </c>
      <c r="F126" s="11">
        <f>SUM(DistMeetingQuota[[#This Row],[Sep]:[Feb]])</f>
        <v>0</v>
      </c>
      <c r="G126" s="11">
        <f>DistMeetingQuota[[#This Row],[Quota]]-DistMeetingQuota[[#This Row],[Actual]]</f>
        <v>2</v>
      </c>
      <c r="H126" s="12">
        <f>DistMeetingQuota[[#This Row],[Actual]]/DistMeetingQuota[[#This Row],[Quota]]</f>
        <v>0</v>
      </c>
      <c r="I126" s="4"/>
      <c r="J126" s="2"/>
      <c r="K126" s="2"/>
      <c r="L126" s="2"/>
      <c r="M126" s="2"/>
      <c r="N126" s="2"/>
      <c r="O126" s="2"/>
      <c r="P126" s="4" t="s">
        <v>10</v>
      </c>
      <c r="Q126" s="2"/>
    </row>
    <row r="127" spans="1:17" s="109" customFormat="1" ht="30">
      <c r="A127" s="4">
        <v>2009210</v>
      </c>
      <c r="B127" s="5" t="s">
        <v>129</v>
      </c>
      <c r="C127" s="4" t="s">
        <v>33</v>
      </c>
      <c r="D127" s="4" t="s">
        <v>5</v>
      </c>
      <c r="E127" s="53">
        <v>24</v>
      </c>
      <c r="F127" s="11">
        <f>SUM(DistMeetingQuota[[#This Row],[Sep]:[Feb]])</f>
        <v>0</v>
      </c>
      <c r="G127" s="11">
        <f>DistMeetingQuota[[#This Row],[Quota]]-DistMeetingQuota[[#This Row],[Actual]]</f>
        <v>24</v>
      </c>
      <c r="H127" s="12">
        <f>DistMeetingQuota[[#This Row],[Actual]]/DistMeetingQuota[[#This Row],[Quota]]</f>
        <v>0</v>
      </c>
      <c r="I127" s="4"/>
      <c r="J127" s="2"/>
      <c r="K127" s="2"/>
      <c r="L127" s="2"/>
      <c r="M127" s="2"/>
      <c r="N127" s="2"/>
      <c r="O127" s="2"/>
      <c r="P127" s="4" t="s">
        <v>10</v>
      </c>
      <c r="Q127" s="2"/>
    </row>
    <row r="128" spans="1:17" s="109" customFormat="1" ht="30">
      <c r="A128" s="4">
        <v>2020889</v>
      </c>
      <c r="B128" s="5" t="s">
        <v>130</v>
      </c>
      <c r="C128" s="4" t="s">
        <v>286</v>
      </c>
      <c r="D128" s="4" t="s">
        <v>11</v>
      </c>
      <c r="E128" s="53">
        <v>2</v>
      </c>
      <c r="F128" s="11">
        <f>SUM(DistMeetingQuota[[#This Row],[Sep]:[Feb]])</f>
        <v>0</v>
      </c>
      <c r="G128" s="11">
        <f>DistMeetingQuota[[#This Row],[Quota]]-DistMeetingQuota[[#This Row],[Actual]]</f>
        <v>2</v>
      </c>
      <c r="H128" s="12">
        <f>DistMeetingQuota[[#This Row],[Actual]]/DistMeetingQuota[[#This Row],[Quota]]</f>
        <v>0</v>
      </c>
      <c r="I128" s="4"/>
      <c r="J128" s="2"/>
      <c r="K128" s="2"/>
      <c r="L128" s="2"/>
      <c r="M128" s="2"/>
      <c r="N128" s="2"/>
      <c r="O128" s="2"/>
      <c r="P128" s="4" t="s">
        <v>60</v>
      </c>
      <c r="Q128" s="2"/>
    </row>
    <row r="129" spans="1:17" s="109" customFormat="1" ht="30">
      <c r="A129" s="4">
        <v>2020889</v>
      </c>
      <c r="B129" s="5" t="s">
        <v>130</v>
      </c>
      <c r="C129" s="4" t="s">
        <v>286</v>
      </c>
      <c r="D129" s="4" t="s">
        <v>5</v>
      </c>
      <c r="E129" s="53">
        <v>24</v>
      </c>
      <c r="F129" s="11">
        <f>SUM(DistMeetingQuota[[#This Row],[Sep]:[Feb]])</f>
        <v>0</v>
      </c>
      <c r="G129" s="11">
        <f>DistMeetingQuota[[#This Row],[Quota]]-DistMeetingQuota[[#This Row],[Actual]]</f>
        <v>24</v>
      </c>
      <c r="H129" s="49">
        <f>DistMeetingQuota[[#This Row],[Actual]]/DistMeetingQuota[[#This Row],[Quota]]</f>
        <v>0</v>
      </c>
      <c r="I129" s="4"/>
      <c r="J129" s="2"/>
      <c r="K129" s="2"/>
      <c r="L129" s="2"/>
      <c r="M129" s="2"/>
      <c r="N129" s="2"/>
      <c r="O129" s="2"/>
      <c r="P129" s="4" t="s">
        <v>60</v>
      </c>
      <c r="Q129" s="2"/>
    </row>
    <row r="130" spans="1:17" s="109" customFormat="1">
      <c r="A130" s="4">
        <v>2009502</v>
      </c>
      <c r="B130" s="5" t="s">
        <v>131</v>
      </c>
      <c r="C130" s="4" t="s">
        <v>21</v>
      </c>
      <c r="D130" s="4" t="s">
        <v>13</v>
      </c>
      <c r="E130" s="53">
        <v>2</v>
      </c>
      <c r="F130" s="11">
        <f>SUM(DistMeetingQuota[[#This Row],[Sep]:[Feb]])</f>
        <v>1</v>
      </c>
      <c r="G130" s="11">
        <f>DistMeetingQuota[[#This Row],[Quota]]-DistMeetingQuota[[#This Row],[Actual]]</f>
        <v>1</v>
      </c>
      <c r="H130" s="12">
        <f>DistMeetingQuota[[#This Row],[Actual]]/DistMeetingQuota[[#This Row],[Quota]]</f>
        <v>0.5</v>
      </c>
      <c r="I130" s="4"/>
      <c r="J130" s="2"/>
      <c r="K130" s="2"/>
      <c r="L130" s="2">
        <v>1</v>
      </c>
      <c r="M130" s="2"/>
      <c r="N130" s="2"/>
      <c r="O130" s="2"/>
      <c r="P130" s="4" t="s">
        <v>491</v>
      </c>
      <c r="Q130" s="2"/>
    </row>
    <row r="131" spans="1:17" s="109" customFormat="1">
      <c r="A131" s="4">
        <v>2053645</v>
      </c>
      <c r="B131" s="5" t="s">
        <v>132</v>
      </c>
      <c r="C131" s="4" t="s">
        <v>286</v>
      </c>
      <c r="D131" s="4" t="s">
        <v>11</v>
      </c>
      <c r="E131" s="53">
        <v>2</v>
      </c>
      <c r="F131" s="11">
        <f>SUM(DistMeetingQuota[[#This Row],[Sep]:[Feb]])</f>
        <v>0</v>
      </c>
      <c r="G131" s="11">
        <f>DistMeetingQuota[[#This Row],[Quota]]-DistMeetingQuota[[#This Row],[Actual]]</f>
        <v>2</v>
      </c>
      <c r="H131" s="12">
        <f>DistMeetingQuota[[#This Row],[Actual]]/DistMeetingQuota[[#This Row],[Quota]]</f>
        <v>0</v>
      </c>
      <c r="I131" s="4"/>
      <c r="J131" s="2"/>
      <c r="K131" s="2"/>
      <c r="L131" s="2"/>
      <c r="M131" s="2"/>
      <c r="N131" s="2"/>
      <c r="O131" s="2"/>
      <c r="P131" s="4" t="s">
        <v>57</v>
      </c>
      <c r="Q131" s="2"/>
    </row>
    <row r="132" spans="1:17" s="109" customFormat="1" ht="30">
      <c r="A132" s="4">
        <v>2020210</v>
      </c>
      <c r="B132" s="5" t="s">
        <v>133</v>
      </c>
      <c r="C132" s="4" t="s">
        <v>21</v>
      </c>
      <c r="D132" s="4" t="s">
        <v>11</v>
      </c>
      <c r="E132" s="53">
        <v>3</v>
      </c>
      <c r="F132" s="11">
        <f>SUM(DistMeetingQuota[[#This Row],[Sep]:[Feb]])</f>
        <v>0</v>
      </c>
      <c r="G132" s="11">
        <f>DistMeetingQuota[[#This Row],[Quota]]-DistMeetingQuota[[#This Row],[Actual]]</f>
        <v>3</v>
      </c>
      <c r="H132" s="12">
        <f>DistMeetingQuota[[#This Row],[Actual]]/DistMeetingQuota[[#This Row],[Quota]]</f>
        <v>0</v>
      </c>
      <c r="I132" s="4"/>
      <c r="J132" s="2"/>
      <c r="K132" s="2"/>
      <c r="L132" s="2"/>
      <c r="M132" s="2"/>
      <c r="N132" s="2"/>
      <c r="O132" s="2"/>
      <c r="P132" s="4" t="s">
        <v>10</v>
      </c>
      <c r="Q132" s="2"/>
    </row>
    <row r="133" spans="1:17" s="109" customFormat="1">
      <c r="A133" s="4">
        <v>2029910</v>
      </c>
      <c r="B133" s="5" t="s">
        <v>134</v>
      </c>
      <c r="C133" s="4" t="s">
        <v>286</v>
      </c>
      <c r="D133" s="4" t="s">
        <v>11</v>
      </c>
      <c r="E133" s="53">
        <v>2</v>
      </c>
      <c r="F133" s="11">
        <f>SUM(DistMeetingQuota[[#This Row],[Sep]:[Feb]])</f>
        <v>0</v>
      </c>
      <c r="G133" s="11">
        <f>DistMeetingQuota[[#This Row],[Quota]]-DistMeetingQuota[[#This Row],[Actual]]</f>
        <v>2</v>
      </c>
      <c r="H133" s="12">
        <f>DistMeetingQuota[[#This Row],[Actual]]/DistMeetingQuota[[#This Row],[Quota]]</f>
        <v>0</v>
      </c>
      <c r="I133" s="4"/>
      <c r="J133" s="2"/>
      <c r="K133" s="2"/>
      <c r="L133" s="2"/>
      <c r="M133" s="2"/>
      <c r="N133" s="2"/>
      <c r="O133" s="2"/>
      <c r="P133" s="4" t="s">
        <v>14</v>
      </c>
      <c r="Q133" s="2"/>
    </row>
    <row r="134" spans="1:17" s="109" customFormat="1" ht="30">
      <c r="A134" s="4">
        <v>2064540</v>
      </c>
      <c r="B134" s="5" t="s">
        <v>135</v>
      </c>
      <c r="C134" s="4" t="s">
        <v>21</v>
      </c>
      <c r="D134" s="4" t="s">
        <v>11</v>
      </c>
      <c r="E134" s="53">
        <v>3</v>
      </c>
      <c r="F134" s="11">
        <f>SUM(DistMeetingQuota[[#This Row],[Sep]:[Feb]])</f>
        <v>3</v>
      </c>
      <c r="G134" s="11">
        <f>DistMeetingQuota[[#This Row],[Quota]]-DistMeetingQuota[[#This Row],[Actual]]</f>
        <v>0</v>
      </c>
      <c r="H134" s="12">
        <f>DistMeetingQuota[[#This Row],[Actual]]/DistMeetingQuota[[#This Row],[Quota]]</f>
        <v>1</v>
      </c>
      <c r="I134" s="4">
        <v>2</v>
      </c>
      <c r="J134" s="2"/>
      <c r="K134" s="2">
        <v>1</v>
      </c>
      <c r="L134" s="2"/>
      <c r="M134" s="2"/>
      <c r="N134" s="2"/>
      <c r="O134" s="2"/>
      <c r="P134" s="4" t="s">
        <v>14</v>
      </c>
      <c r="Q134" s="2"/>
    </row>
    <row r="135" spans="1:17" s="109" customFormat="1">
      <c r="A135" s="4">
        <v>2010280</v>
      </c>
      <c r="B135" s="5" t="s">
        <v>136</v>
      </c>
      <c r="C135" s="4" t="s">
        <v>286</v>
      </c>
      <c r="D135" s="4" t="s">
        <v>11</v>
      </c>
      <c r="E135" s="53">
        <v>2</v>
      </c>
      <c r="F135" s="11">
        <f>SUM(DistMeetingQuota[[#This Row],[Sep]:[Feb]])</f>
        <v>0</v>
      </c>
      <c r="G135" s="11">
        <f>DistMeetingQuota[[#This Row],[Quota]]-DistMeetingQuota[[#This Row],[Actual]]</f>
        <v>2</v>
      </c>
      <c r="H135" s="12">
        <f>DistMeetingQuota[[#This Row],[Actual]]/DistMeetingQuota[[#This Row],[Quota]]</f>
        <v>0</v>
      </c>
      <c r="I135" s="4"/>
      <c r="J135" s="2"/>
      <c r="K135" s="2"/>
      <c r="L135" s="2"/>
      <c r="M135" s="2"/>
      <c r="N135" s="2"/>
      <c r="O135" s="2"/>
      <c r="P135" s="4" t="s">
        <v>14</v>
      </c>
      <c r="Q135" s="2"/>
    </row>
    <row r="136" spans="1:17" s="109" customFormat="1" ht="30">
      <c r="A136" s="147">
        <v>2013324</v>
      </c>
      <c r="B136" s="148" t="s">
        <v>137</v>
      </c>
      <c r="C136" s="147" t="s">
        <v>286</v>
      </c>
      <c r="D136" s="147" t="s">
        <v>5</v>
      </c>
      <c r="E136" s="150">
        <v>24</v>
      </c>
      <c r="F136" s="157">
        <f>SUM(DistMeetingQuota[[#This Row],[Sep]:[Feb]])</f>
        <v>0</v>
      </c>
      <c r="G136" s="157">
        <f>DistMeetingQuota[[#This Row],[Quota]]-DistMeetingQuota[[#This Row],[Actual]]</f>
        <v>24</v>
      </c>
      <c r="H136" s="151">
        <f>DistMeetingQuota[[#This Row],[Actual]]/DistMeetingQuota[[#This Row],[Quota]]</f>
        <v>0</v>
      </c>
      <c r="I136" s="147"/>
      <c r="J136" s="152"/>
      <c r="K136" s="152"/>
      <c r="L136" s="152"/>
      <c r="M136" s="152"/>
      <c r="N136" s="152"/>
      <c r="O136" s="152"/>
      <c r="P136" s="147" t="s">
        <v>4</v>
      </c>
      <c r="Q136" s="152"/>
    </row>
    <row r="137" spans="1:17" s="109" customFormat="1" ht="30">
      <c r="A137" s="147">
        <v>2013324</v>
      </c>
      <c r="B137" s="148" t="s">
        <v>137</v>
      </c>
      <c r="C137" s="147" t="s">
        <v>286</v>
      </c>
      <c r="D137" s="147" t="s">
        <v>11</v>
      </c>
      <c r="E137" s="150">
        <v>2</v>
      </c>
      <c r="F137" s="157">
        <f>SUM(DistMeetingQuota[[#This Row],[Sep]:[Feb]])</f>
        <v>0</v>
      </c>
      <c r="G137" s="157">
        <f>DistMeetingQuota[[#This Row],[Quota]]-DistMeetingQuota[[#This Row],[Actual]]</f>
        <v>2</v>
      </c>
      <c r="H137" s="151">
        <f>DistMeetingQuota[[#This Row],[Actual]]/DistMeetingQuota[[#This Row],[Quota]]</f>
        <v>0</v>
      </c>
      <c r="I137" s="147"/>
      <c r="J137" s="152"/>
      <c r="K137" s="152"/>
      <c r="L137" s="152"/>
      <c r="M137" s="152"/>
      <c r="N137" s="152"/>
      <c r="O137" s="152"/>
      <c r="P137" s="147" t="s">
        <v>4</v>
      </c>
      <c r="Q137" s="152"/>
    </row>
    <row r="138" spans="1:17" s="109" customFormat="1">
      <c r="A138" s="4">
        <v>2041789</v>
      </c>
      <c r="B138" s="5" t="s">
        <v>138</v>
      </c>
      <c r="C138" s="4" t="s">
        <v>286</v>
      </c>
      <c r="D138" s="4" t="s">
        <v>11</v>
      </c>
      <c r="E138" s="53">
        <v>2</v>
      </c>
      <c r="F138" s="11">
        <f>SUM(DistMeetingQuota[[#This Row],[Sep]:[Feb]])</f>
        <v>2</v>
      </c>
      <c r="G138" s="11">
        <f>DistMeetingQuota[[#This Row],[Quota]]-DistMeetingQuota[[#This Row],[Actual]]</f>
        <v>0</v>
      </c>
      <c r="H138" s="12">
        <f>DistMeetingQuota[[#This Row],[Actual]]/DistMeetingQuota[[#This Row],[Quota]]</f>
        <v>1</v>
      </c>
      <c r="I138" s="4"/>
      <c r="J138" s="2"/>
      <c r="K138" s="2"/>
      <c r="L138" s="2">
        <v>2</v>
      </c>
      <c r="M138" s="2"/>
      <c r="N138" s="2"/>
      <c r="O138" s="2"/>
      <c r="P138" s="4" t="s">
        <v>14</v>
      </c>
      <c r="Q138" s="2"/>
    </row>
    <row r="139" spans="1:17" s="109" customFormat="1">
      <c r="A139" s="4">
        <v>2020058</v>
      </c>
      <c r="B139" s="5" t="s">
        <v>139</v>
      </c>
      <c r="C139" s="4" t="s">
        <v>21</v>
      </c>
      <c r="D139" s="4" t="s">
        <v>13</v>
      </c>
      <c r="E139" s="53">
        <v>2</v>
      </c>
      <c r="F139" s="11">
        <f>SUM(DistMeetingQuota[[#This Row],[Sep]:[Feb]])</f>
        <v>0</v>
      </c>
      <c r="G139" s="11">
        <f>DistMeetingQuota[[#This Row],[Quota]]-DistMeetingQuota[[#This Row],[Actual]]</f>
        <v>2</v>
      </c>
      <c r="H139" s="12">
        <f>DistMeetingQuota[[#This Row],[Actual]]/DistMeetingQuota[[#This Row],[Quota]]</f>
        <v>0</v>
      </c>
      <c r="I139" s="4"/>
      <c r="J139" s="2"/>
      <c r="K139" s="2"/>
      <c r="L139" s="2"/>
      <c r="M139" s="2"/>
      <c r="N139" s="2"/>
      <c r="O139" s="2"/>
      <c r="P139" s="4" t="s">
        <v>10</v>
      </c>
      <c r="Q139" s="2"/>
    </row>
    <row r="140" spans="1:17" s="109" customFormat="1">
      <c r="A140" s="4">
        <v>2020058</v>
      </c>
      <c r="B140" s="5" t="s">
        <v>139</v>
      </c>
      <c r="C140" s="4" t="s">
        <v>21</v>
      </c>
      <c r="D140" s="4" t="s">
        <v>11</v>
      </c>
      <c r="E140" s="53">
        <v>3</v>
      </c>
      <c r="F140" s="11">
        <f>SUM(DistMeetingQuota[[#This Row],[Sep]:[Feb]])</f>
        <v>0</v>
      </c>
      <c r="G140" s="11">
        <f>DistMeetingQuota[[#This Row],[Quota]]-DistMeetingQuota[[#This Row],[Actual]]</f>
        <v>3</v>
      </c>
      <c r="H140" s="12">
        <f>DistMeetingQuota[[#This Row],[Actual]]/DistMeetingQuota[[#This Row],[Quota]]</f>
        <v>0</v>
      </c>
      <c r="I140" s="4"/>
      <c r="J140" s="2"/>
      <c r="K140" s="2"/>
      <c r="L140" s="2"/>
      <c r="M140" s="2"/>
      <c r="N140" s="2"/>
      <c r="O140" s="2"/>
      <c r="P140" s="4" t="s">
        <v>10</v>
      </c>
      <c r="Q140" s="2"/>
    </row>
    <row r="141" spans="1:17" s="109" customFormat="1">
      <c r="A141" s="4">
        <v>2070798</v>
      </c>
      <c r="B141" s="5" t="s">
        <v>140</v>
      </c>
      <c r="C141" s="4" t="s">
        <v>286</v>
      </c>
      <c r="D141" s="4" t="s">
        <v>11</v>
      </c>
      <c r="E141" s="53">
        <v>2</v>
      </c>
      <c r="F141" s="11">
        <f>SUM(DistMeetingQuota[[#This Row],[Sep]:[Feb]])</f>
        <v>0</v>
      </c>
      <c r="G141" s="11">
        <f>DistMeetingQuota[[#This Row],[Quota]]-DistMeetingQuota[[#This Row],[Actual]]</f>
        <v>2</v>
      </c>
      <c r="H141" s="12">
        <f>DistMeetingQuota[[#This Row],[Actual]]/DistMeetingQuota[[#This Row],[Quota]]</f>
        <v>0</v>
      </c>
      <c r="I141" s="4"/>
      <c r="J141" s="2"/>
      <c r="K141" s="2"/>
      <c r="L141" s="2"/>
      <c r="M141" s="2"/>
      <c r="N141" s="2"/>
      <c r="O141" s="2"/>
      <c r="P141" s="4" t="s">
        <v>14</v>
      </c>
      <c r="Q141" s="2"/>
    </row>
    <row r="142" spans="1:17" s="109" customFormat="1">
      <c r="A142" s="4">
        <v>2027435</v>
      </c>
      <c r="B142" s="5" t="s">
        <v>141</v>
      </c>
      <c r="C142" s="4" t="s">
        <v>19</v>
      </c>
      <c r="D142" s="4" t="s">
        <v>11</v>
      </c>
      <c r="E142" s="53">
        <v>2</v>
      </c>
      <c r="F142" s="11">
        <f>SUM(DistMeetingQuota[[#This Row],[Sep]:[Feb]])</f>
        <v>1</v>
      </c>
      <c r="G142" s="11">
        <f>DistMeetingQuota[[#This Row],[Quota]]-DistMeetingQuota[[#This Row],[Actual]]</f>
        <v>1</v>
      </c>
      <c r="H142" s="12">
        <f>DistMeetingQuota[[#This Row],[Actual]]/DistMeetingQuota[[#This Row],[Quota]]</f>
        <v>0.5</v>
      </c>
      <c r="I142" s="4"/>
      <c r="J142" s="2"/>
      <c r="K142" s="2">
        <v>1</v>
      </c>
      <c r="L142" s="2"/>
      <c r="M142" s="2"/>
      <c r="N142" s="2"/>
      <c r="O142" s="2"/>
      <c r="P142" s="4" t="s">
        <v>10</v>
      </c>
      <c r="Q142" s="2"/>
    </row>
    <row r="143" spans="1:17" s="109" customFormat="1">
      <c r="A143" s="4">
        <v>2039676</v>
      </c>
      <c r="B143" s="5" t="s">
        <v>407</v>
      </c>
      <c r="C143" s="4" t="s">
        <v>286</v>
      </c>
      <c r="D143" s="4" t="s">
        <v>11</v>
      </c>
      <c r="E143" s="53">
        <v>2</v>
      </c>
      <c r="F143" s="11">
        <f>SUM(DistMeetingQuota[[#This Row],[Sep]:[Feb]])</f>
        <v>0</v>
      </c>
      <c r="G143" s="11">
        <f>DistMeetingQuota[[#This Row],[Quota]]-DistMeetingQuota[[#This Row],[Actual]]</f>
        <v>2</v>
      </c>
      <c r="H143" s="12">
        <f>DistMeetingQuota[[#This Row],[Actual]]/DistMeetingQuota[[#This Row],[Quota]]</f>
        <v>0</v>
      </c>
      <c r="I143" s="4"/>
      <c r="J143" s="2"/>
      <c r="K143" s="2"/>
      <c r="L143" s="2"/>
      <c r="M143" s="2"/>
      <c r="N143" s="2"/>
      <c r="O143" s="2"/>
      <c r="P143" s="4" t="s">
        <v>10</v>
      </c>
      <c r="Q143" s="2"/>
    </row>
    <row r="144" spans="1:17" s="109" customFormat="1">
      <c r="A144" s="4">
        <v>2010199</v>
      </c>
      <c r="B144" s="5" t="s">
        <v>142</v>
      </c>
      <c r="C144" s="4" t="s">
        <v>22</v>
      </c>
      <c r="D144" s="4" t="s">
        <v>487</v>
      </c>
      <c r="E144" s="53">
        <v>2</v>
      </c>
      <c r="F144" s="11">
        <f>SUM(DistMeetingQuota[[#This Row],[Sep]:[Feb]])</f>
        <v>2</v>
      </c>
      <c r="G144" s="11">
        <f>DistMeetingQuota[[#This Row],[Quota]]-DistMeetingQuota[[#This Row],[Actual]]</f>
        <v>0</v>
      </c>
      <c r="H144" s="12">
        <f>DistMeetingQuota[[#This Row],[Actual]]/DistMeetingQuota[[#This Row],[Quota]]</f>
        <v>1</v>
      </c>
      <c r="I144" s="4"/>
      <c r="J144" s="2"/>
      <c r="K144" s="2"/>
      <c r="L144" s="2"/>
      <c r="M144" s="2">
        <v>2</v>
      </c>
      <c r="N144" s="2"/>
      <c r="O144" s="2"/>
      <c r="P144" s="4" t="s">
        <v>14</v>
      </c>
      <c r="Q144" s="2"/>
    </row>
    <row r="145" spans="1:17" s="109" customFormat="1">
      <c r="A145" s="4">
        <v>2010199</v>
      </c>
      <c r="B145" s="5" t="s">
        <v>142</v>
      </c>
      <c r="C145" s="4" t="s">
        <v>22</v>
      </c>
      <c r="D145" s="4" t="s">
        <v>13</v>
      </c>
      <c r="E145" s="53">
        <v>3</v>
      </c>
      <c r="F145" s="11">
        <f>SUM(DistMeetingQuota[[#This Row],[Sep]:[Feb]])</f>
        <v>0</v>
      </c>
      <c r="G145" s="11">
        <f>DistMeetingQuota[[#This Row],[Quota]]-DistMeetingQuota[[#This Row],[Actual]]</f>
        <v>3</v>
      </c>
      <c r="H145" s="12">
        <f>DistMeetingQuota[[#This Row],[Actual]]/DistMeetingQuota[[#This Row],[Quota]]</f>
        <v>0</v>
      </c>
      <c r="I145" s="4"/>
      <c r="J145" s="2"/>
      <c r="K145" s="2"/>
      <c r="L145" s="2"/>
      <c r="M145" s="2"/>
      <c r="N145" s="2"/>
      <c r="O145" s="2"/>
      <c r="P145" s="4" t="s">
        <v>14</v>
      </c>
      <c r="Q145" s="2"/>
    </row>
    <row r="146" spans="1:17" s="109" customFormat="1">
      <c r="A146" s="4">
        <v>2048510</v>
      </c>
      <c r="B146" s="5" t="s">
        <v>143</v>
      </c>
      <c r="C146" s="4" t="s">
        <v>33</v>
      </c>
      <c r="D146" s="4" t="s">
        <v>11</v>
      </c>
      <c r="E146" s="53">
        <v>2</v>
      </c>
      <c r="F146" s="11">
        <f>SUM(DistMeetingQuota[[#This Row],[Sep]:[Feb]])</f>
        <v>0</v>
      </c>
      <c r="G146" s="11">
        <f>DistMeetingQuota[[#This Row],[Quota]]-DistMeetingQuota[[#This Row],[Actual]]</f>
        <v>2</v>
      </c>
      <c r="H146" s="12">
        <f>DistMeetingQuota[[#This Row],[Actual]]/DistMeetingQuota[[#This Row],[Quota]]</f>
        <v>0</v>
      </c>
      <c r="I146" s="4"/>
      <c r="J146" s="2"/>
      <c r="K146" s="2"/>
      <c r="L146" s="2"/>
      <c r="M146" s="2"/>
      <c r="N146" s="2"/>
      <c r="O146" s="2"/>
      <c r="P146" s="4" t="s">
        <v>492</v>
      </c>
      <c r="Q146" s="2"/>
    </row>
    <row r="147" spans="1:17" s="109" customFormat="1">
      <c r="A147" s="4">
        <v>2022658</v>
      </c>
      <c r="B147" s="5" t="s">
        <v>144</v>
      </c>
      <c r="C147" s="4" t="s">
        <v>286</v>
      </c>
      <c r="D147" s="4" t="s">
        <v>11</v>
      </c>
      <c r="E147" s="53">
        <v>2</v>
      </c>
      <c r="F147" s="11">
        <f>SUM(DistMeetingQuota[[#This Row],[Sep]:[Feb]])</f>
        <v>0</v>
      </c>
      <c r="G147" s="11">
        <f>DistMeetingQuota[[#This Row],[Quota]]-DistMeetingQuota[[#This Row],[Actual]]</f>
        <v>2</v>
      </c>
      <c r="H147" s="12">
        <f>DistMeetingQuota[[#This Row],[Actual]]/DistMeetingQuota[[#This Row],[Quota]]</f>
        <v>0</v>
      </c>
      <c r="I147" s="4"/>
      <c r="J147" s="2"/>
      <c r="K147" s="2"/>
      <c r="L147" s="2"/>
      <c r="M147" s="2"/>
      <c r="N147" s="2"/>
      <c r="O147" s="2"/>
      <c r="P147" s="4" t="s">
        <v>10</v>
      </c>
      <c r="Q147" s="2"/>
    </row>
    <row r="148" spans="1:17" s="109" customFormat="1" ht="30">
      <c r="A148" s="4">
        <v>2010163</v>
      </c>
      <c r="B148" s="138" t="s">
        <v>951</v>
      </c>
      <c r="C148" s="4" t="s">
        <v>21</v>
      </c>
      <c r="D148" s="4" t="s">
        <v>11</v>
      </c>
      <c r="E148" s="53">
        <v>3</v>
      </c>
      <c r="F148" s="11">
        <f>SUM(DistMeetingQuota[[#This Row],[Sep]:[Feb]])</f>
        <v>1</v>
      </c>
      <c r="G148" s="11">
        <f>DistMeetingQuota[[#This Row],[Quota]]-DistMeetingQuota[[#This Row],[Actual]]</f>
        <v>2</v>
      </c>
      <c r="H148" s="12">
        <f>DistMeetingQuota[[#This Row],[Actual]]/DistMeetingQuota[[#This Row],[Quota]]</f>
        <v>0.33333333333333331</v>
      </c>
      <c r="I148" s="4">
        <v>1</v>
      </c>
      <c r="J148" s="2"/>
      <c r="K148" s="2"/>
      <c r="L148" s="2"/>
      <c r="M148" s="2"/>
      <c r="N148" s="2"/>
      <c r="O148" s="2"/>
      <c r="P148" s="4" t="s">
        <v>14</v>
      </c>
      <c r="Q148" s="2"/>
    </row>
    <row r="149" spans="1:17" s="109" customFormat="1" ht="30">
      <c r="A149" s="4">
        <v>2091163</v>
      </c>
      <c r="B149" s="5" t="s">
        <v>145</v>
      </c>
      <c r="C149" s="4" t="s">
        <v>286</v>
      </c>
      <c r="D149" s="4" t="s">
        <v>11</v>
      </c>
      <c r="E149" s="53">
        <v>2</v>
      </c>
      <c r="F149" s="11">
        <f>SUM(DistMeetingQuota[[#This Row],[Sep]:[Feb]])</f>
        <v>0</v>
      </c>
      <c r="G149" s="11">
        <f>DistMeetingQuota[[#This Row],[Quota]]-DistMeetingQuota[[#This Row],[Actual]]</f>
        <v>2</v>
      </c>
      <c r="H149" s="12">
        <f>DistMeetingQuota[[#This Row],[Actual]]/DistMeetingQuota[[#This Row],[Quota]]</f>
        <v>0</v>
      </c>
      <c r="I149" s="4"/>
      <c r="J149" s="2"/>
      <c r="K149" s="2"/>
      <c r="L149" s="2"/>
      <c r="M149" s="2"/>
      <c r="N149" s="2"/>
      <c r="O149" s="2"/>
      <c r="P149" s="4" t="s">
        <v>14</v>
      </c>
      <c r="Q149" s="2"/>
    </row>
    <row r="150" spans="1:17" s="109" customFormat="1">
      <c r="A150" s="4">
        <v>2030299</v>
      </c>
      <c r="B150" s="5" t="s">
        <v>146</v>
      </c>
      <c r="C150" s="4" t="s">
        <v>286</v>
      </c>
      <c r="D150" s="4" t="s">
        <v>11</v>
      </c>
      <c r="E150" s="53">
        <v>2</v>
      </c>
      <c r="F150" s="11">
        <f>SUM(DistMeetingQuota[[#This Row],[Sep]:[Feb]])</f>
        <v>0</v>
      </c>
      <c r="G150" s="11">
        <f>DistMeetingQuota[[#This Row],[Quota]]-DistMeetingQuota[[#This Row],[Actual]]</f>
        <v>2</v>
      </c>
      <c r="H150" s="12">
        <f>DistMeetingQuota[[#This Row],[Actual]]/DistMeetingQuota[[#This Row],[Quota]]</f>
        <v>0</v>
      </c>
      <c r="I150" s="4"/>
      <c r="J150" s="2"/>
      <c r="K150" s="2"/>
      <c r="L150" s="2"/>
      <c r="M150" s="2"/>
      <c r="N150" s="2"/>
      <c r="O150" s="2"/>
      <c r="P150" s="4" t="s">
        <v>10</v>
      </c>
      <c r="Q150" s="2"/>
    </row>
    <row r="151" spans="1:17" s="109" customFormat="1">
      <c r="A151" s="4">
        <v>2062878</v>
      </c>
      <c r="B151" s="5" t="s">
        <v>147</v>
      </c>
      <c r="C151" s="4" t="s">
        <v>286</v>
      </c>
      <c r="D151" s="4" t="s">
        <v>11</v>
      </c>
      <c r="E151" s="53">
        <v>2</v>
      </c>
      <c r="F151" s="11">
        <f>SUM(DistMeetingQuota[[#This Row],[Sep]:[Feb]])</f>
        <v>0</v>
      </c>
      <c r="G151" s="11">
        <f>DistMeetingQuota[[#This Row],[Quota]]-DistMeetingQuota[[#This Row],[Actual]]</f>
        <v>2</v>
      </c>
      <c r="H151" s="12">
        <f>DistMeetingQuota[[#This Row],[Actual]]/DistMeetingQuota[[#This Row],[Quota]]</f>
        <v>0</v>
      </c>
      <c r="I151" s="4"/>
      <c r="J151" s="2"/>
      <c r="K151" s="2"/>
      <c r="L151" s="2"/>
      <c r="M151" s="2"/>
      <c r="N151" s="2"/>
      <c r="O151" s="2"/>
      <c r="P151" s="4" t="s">
        <v>55</v>
      </c>
      <c r="Q151" s="2"/>
    </row>
    <row r="152" spans="1:17" s="109" customFormat="1">
      <c r="A152" s="4">
        <v>2019208</v>
      </c>
      <c r="B152" s="5" t="s">
        <v>148</v>
      </c>
      <c r="C152" s="4" t="s">
        <v>33</v>
      </c>
      <c r="D152" s="4" t="s">
        <v>11</v>
      </c>
      <c r="E152" s="53">
        <v>2</v>
      </c>
      <c r="F152" s="11">
        <f>SUM(DistMeetingQuota[[#This Row],[Sep]:[Feb]])</f>
        <v>0</v>
      </c>
      <c r="G152" s="11">
        <f>DistMeetingQuota[[#This Row],[Quota]]-DistMeetingQuota[[#This Row],[Actual]]</f>
        <v>2</v>
      </c>
      <c r="H152" s="12">
        <f>DistMeetingQuota[[#This Row],[Actual]]/DistMeetingQuota[[#This Row],[Quota]]</f>
        <v>0</v>
      </c>
      <c r="I152" s="4"/>
      <c r="J152" s="2"/>
      <c r="K152" s="2"/>
      <c r="L152" s="2"/>
      <c r="M152" s="2"/>
      <c r="N152" s="2"/>
      <c r="O152" s="2"/>
      <c r="P152" s="4" t="s">
        <v>14</v>
      </c>
      <c r="Q152" s="2"/>
    </row>
    <row r="153" spans="1:17" s="154" customFormat="1" ht="30">
      <c r="A153" s="147">
        <v>2014225</v>
      </c>
      <c r="B153" s="148" t="s">
        <v>149</v>
      </c>
      <c r="C153" s="147" t="s">
        <v>286</v>
      </c>
      <c r="D153" s="147" t="s">
        <v>11</v>
      </c>
      <c r="E153" s="150">
        <v>0</v>
      </c>
      <c r="F153" s="157">
        <f>SUM(DistMeetingQuota[[#This Row],[Sep]:[Feb]])</f>
        <v>0</v>
      </c>
      <c r="G153" s="157">
        <f>DistMeetingQuota[[#This Row],[Quota]]-DistMeetingQuota[[#This Row],[Actual]]</f>
        <v>0</v>
      </c>
      <c r="H153" s="151" t="e">
        <f>DistMeetingQuota[[#This Row],[Actual]]/DistMeetingQuota[[#This Row],[Quota]]</f>
        <v>#DIV/0!</v>
      </c>
      <c r="I153" s="147"/>
      <c r="J153" s="152"/>
      <c r="K153" s="152"/>
      <c r="L153" s="152"/>
      <c r="M153" s="152"/>
      <c r="N153" s="152"/>
      <c r="O153" s="152" t="s">
        <v>900</v>
      </c>
      <c r="P153" s="147" t="s">
        <v>14</v>
      </c>
      <c r="Q153" s="152"/>
    </row>
    <row r="154" spans="1:17" s="109" customFormat="1" ht="30">
      <c r="A154" s="4">
        <v>2086261</v>
      </c>
      <c r="B154" s="5" t="s">
        <v>150</v>
      </c>
      <c r="C154" s="4" t="s">
        <v>286</v>
      </c>
      <c r="D154" s="4" t="s">
        <v>11</v>
      </c>
      <c r="E154" s="53">
        <v>2</v>
      </c>
      <c r="F154" s="11">
        <f>SUM(DistMeetingQuota[[#This Row],[Sep]:[Feb]])</f>
        <v>0</v>
      </c>
      <c r="G154" s="11">
        <f>DistMeetingQuota[[#This Row],[Quota]]-DistMeetingQuota[[#This Row],[Actual]]</f>
        <v>2</v>
      </c>
      <c r="H154" s="12">
        <f>DistMeetingQuota[[#This Row],[Actual]]/DistMeetingQuota[[#This Row],[Quota]]</f>
        <v>0</v>
      </c>
      <c r="I154" s="4"/>
      <c r="J154" s="2"/>
      <c r="K154" s="2"/>
      <c r="L154" s="2"/>
      <c r="M154" s="2"/>
      <c r="N154" s="2"/>
      <c r="O154" s="2"/>
      <c r="P154" s="4" t="s">
        <v>14</v>
      </c>
      <c r="Q154" s="2"/>
    </row>
    <row r="155" spans="1:17" s="109" customFormat="1" ht="30">
      <c r="A155" s="4">
        <v>2053084</v>
      </c>
      <c r="B155" s="5" t="s">
        <v>151</v>
      </c>
      <c r="C155" s="4" t="s">
        <v>21</v>
      </c>
      <c r="D155" s="4" t="s">
        <v>13</v>
      </c>
      <c r="E155" s="53">
        <v>2</v>
      </c>
      <c r="F155" s="11">
        <f>SUM(DistMeetingQuota[[#This Row],[Sep]:[Feb]])</f>
        <v>0</v>
      </c>
      <c r="G155" s="11">
        <f>DistMeetingQuota[[#This Row],[Quota]]-DistMeetingQuota[[#This Row],[Actual]]</f>
        <v>2</v>
      </c>
      <c r="H155" s="12">
        <f>DistMeetingQuota[[#This Row],[Actual]]/DistMeetingQuota[[#This Row],[Quota]]</f>
        <v>0</v>
      </c>
      <c r="I155" s="4"/>
      <c r="J155" s="2"/>
      <c r="K155" s="2"/>
      <c r="L155" s="2"/>
      <c r="M155" s="2"/>
      <c r="N155" s="2"/>
      <c r="O155" s="2"/>
      <c r="P155" s="4" t="s">
        <v>58</v>
      </c>
      <c r="Q155" s="2"/>
    </row>
    <row r="156" spans="1:17" s="109" customFormat="1" ht="30">
      <c r="A156" s="4">
        <v>2053084</v>
      </c>
      <c r="B156" s="5" t="s">
        <v>151</v>
      </c>
      <c r="C156" s="4" t="s">
        <v>21</v>
      </c>
      <c r="D156" s="4" t="s">
        <v>11</v>
      </c>
      <c r="E156" s="53">
        <v>2</v>
      </c>
      <c r="F156" s="11">
        <f>SUM(DistMeetingQuota[[#This Row],[Sep]:[Feb]])</f>
        <v>0</v>
      </c>
      <c r="G156" s="11">
        <f>DistMeetingQuota[[#This Row],[Quota]]-DistMeetingQuota[[#This Row],[Actual]]</f>
        <v>2</v>
      </c>
      <c r="H156" s="12">
        <f>DistMeetingQuota[[#This Row],[Actual]]/DistMeetingQuota[[#This Row],[Quota]]</f>
        <v>0</v>
      </c>
      <c r="I156" s="4"/>
      <c r="J156" s="2"/>
      <c r="K156" s="2"/>
      <c r="L156" s="2"/>
      <c r="M156" s="2"/>
      <c r="N156" s="2"/>
      <c r="O156" s="2"/>
      <c r="P156" s="4" t="s">
        <v>58</v>
      </c>
      <c r="Q156" s="2"/>
    </row>
    <row r="157" spans="1:17" s="109" customFormat="1" ht="30">
      <c r="A157" s="4">
        <v>2086566</v>
      </c>
      <c r="B157" s="5" t="s">
        <v>152</v>
      </c>
      <c r="C157" s="4" t="s">
        <v>286</v>
      </c>
      <c r="D157" s="4" t="s">
        <v>11</v>
      </c>
      <c r="E157" s="53">
        <v>2</v>
      </c>
      <c r="F157" s="11">
        <f>SUM(DistMeetingQuota[[#This Row],[Sep]:[Feb]])</f>
        <v>0</v>
      </c>
      <c r="G157" s="11">
        <f>DistMeetingQuota[[#This Row],[Quota]]-DistMeetingQuota[[#This Row],[Actual]]</f>
        <v>2</v>
      </c>
      <c r="H157" s="12">
        <f>DistMeetingQuota[[#This Row],[Actual]]/DistMeetingQuota[[#This Row],[Quota]]</f>
        <v>0</v>
      </c>
      <c r="I157" s="4"/>
      <c r="J157" s="2"/>
      <c r="K157" s="2"/>
      <c r="L157" s="2"/>
      <c r="M157" s="2"/>
      <c r="N157" s="2"/>
      <c r="O157" s="2"/>
      <c r="P157" s="4" t="s">
        <v>10</v>
      </c>
      <c r="Q157" s="2"/>
    </row>
    <row r="158" spans="1:17" s="109" customFormat="1">
      <c r="A158" s="4">
        <v>2080169</v>
      </c>
      <c r="B158" s="5" t="s">
        <v>153</v>
      </c>
      <c r="C158" s="4" t="s">
        <v>286</v>
      </c>
      <c r="D158" s="4" t="s">
        <v>11</v>
      </c>
      <c r="E158" s="53">
        <v>2</v>
      </c>
      <c r="F158" s="11">
        <f>SUM(DistMeetingQuota[[#This Row],[Sep]:[Feb]])</f>
        <v>0</v>
      </c>
      <c r="G158" s="11">
        <f>DistMeetingQuota[[#This Row],[Quota]]-DistMeetingQuota[[#This Row],[Actual]]</f>
        <v>2</v>
      </c>
      <c r="H158" s="12">
        <f>DistMeetingQuota[[#This Row],[Actual]]/DistMeetingQuota[[#This Row],[Quota]]</f>
        <v>0</v>
      </c>
      <c r="I158" s="4"/>
      <c r="J158" s="2"/>
      <c r="K158" s="2"/>
      <c r="L158" s="2"/>
      <c r="M158" s="2"/>
      <c r="N158" s="2"/>
      <c r="O158" s="2"/>
      <c r="P158" s="4" t="s">
        <v>14</v>
      </c>
      <c r="Q158" s="2"/>
    </row>
    <row r="159" spans="1:17" s="109" customFormat="1">
      <c r="A159" s="4">
        <v>2074762</v>
      </c>
      <c r="B159" s="5" t="s">
        <v>154</v>
      </c>
      <c r="C159" s="4" t="s">
        <v>33</v>
      </c>
      <c r="D159" s="4" t="s">
        <v>11</v>
      </c>
      <c r="E159" s="53">
        <v>2</v>
      </c>
      <c r="F159" s="11">
        <f>SUM(DistMeetingQuota[[#This Row],[Sep]:[Feb]])</f>
        <v>0</v>
      </c>
      <c r="G159" s="11">
        <f>DistMeetingQuota[[#This Row],[Quota]]-DistMeetingQuota[[#This Row],[Actual]]</f>
        <v>2</v>
      </c>
      <c r="H159" s="12">
        <f>DistMeetingQuota[[#This Row],[Actual]]/DistMeetingQuota[[#This Row],[Quota]]</f>
        <v>0</v>
      </c>
      <c r="I159" s="4"/>
      <c r="J159" s="2"/>
      <c r="K159" s="2"/>
      <c r="L159" s="2"/>
      <c r="M159" s="2"/>
      <c r="N159" s="2"/>
      <c r="O159" s="2"/>
      <c r="P159" s="4" t="s">
        <v>14</v>
      </c>
      <c r="Q159" s="2"/>
    </row>
    <row r="160" spans="1:17" s="109" customFormat="1">
      <c r="A160" s="4">
        <v>2063943</v>
      </c>
      <c r="B160" s="5" t="s">
        <v>155</v>
      </c>
      <c r="C160" s="4" t="s">
        <v>33</v>
      </c>
      <c r="D160" s="4" t="s">
        <v>5</v>
      </c>
      <c r="E160" s="53">
        <v>24</v>
      </c>
      <c r="F160" s="11">
        <f>SUM(DistMeetingQuota[[#This Row],[Sep]:[Feb]])</f>
        <v>8</v>
      </c>
      <c r="G160" s="11">
        <f>DistMeetingQuota[[#This Row],[Quota]]-DistMeetingQuota[[#This Row],[Actual]]</f>
        <v>16</v>
      </c>
      <c r="H160" s="12">
        <f>DistMeetingQuota[[#This Row],[Actual]]/DistMeetingQuota[[#This Row],[Quota]]</f>
        <v>0.33333333333333331</v>
      </c>
      <c r="I160" s="4"/>
      <c r="J160" s="2">
        <v>4</v>
      </c>
      <c r="K160" s="2">
        <v>4</v>
      </c>
      <c r="L160" s="2"/>
      <c r="M160" s="2"/>
      <c r="N160" s="2"/>
      <c r="O160" s="2"/>
      <c r="P160" s="4" t="s">
        <v>14</v>
      </c>
      <c r="Q160" s="2"/>
    </row>
    <row r="161" spans="1:17" s="109" customFormat="1">
      <c r="A161" s="4">
        <v>2063943</v>
      </c>
      <c r="B161" s="5" t="s">
        <v>155</v>
      </c>
      <c r="C161" s="4" t="s">
        <v>33</v>
      </c>
      <c r="D161" s="4" t="s">
        <v>11</v>
      </c>
      <c r="E161" s="53">
        <v>2</v>
      </c>
      <c r="F161" s="11">
        <f>SUM(DistMeetingQuota[[#This Row],[Sep]:[Feb]])</f>
        <v>0</v>
      </c>
      <c r="G161" s="11">
        <f>DistMeetingQuota[[#This Row],[Quota]]-DistMeetingQuota[[#This Row],[Actual]]</f>
        <v>2</v>
      </c>
      <c r="H161" s="12">
        <f>DistMeetingQuota[[#This Row],[Actual]]/DistMeetingQuota[[#This Row],[Quota]]</f>
        <v>0</v>
      </c>
      <c r="I161" s="4"/>
      <c r="J161" s="2"/>
      <c r="K161" s="2"/>
      <c r="L161" s="2"/>
      <c r="M161" s="2"/>
      <c r="N161" s="2"/>
      <c r="O161" s="2"/>
      <c r="P161" s="4" t="s">
        <v>14</v>
      </c>
      <c r="Q161" s="2"/>
    </row>
    <row r="162" spans="1:17" s="109" customFormat="1" ht="30">
      <c r="A162" s="4">
        <v>2089761</v>
      </c>
      <c r="B162" s="5" t="s">
        <v>156</v>
      </c>
      <c r="C162" s="4" t="s">
        <v>21</v>
      </c>
      <c r="D162" s="4" t="s">
        <v>11</v>
      </c>
      <c r="E162" s="53">
        <v>3</v>
      </c>
      <c r="F162" s="11">
        <f>SUM(DistMeetingQuota[[#This Row],[Sep]:[Feb]])</f>
        <v>1</v>
      </c>
      <c r="G162" s="11">
        <f>DistMeetingQuota[[#This Row],[Quota]]-DistMeetingQuota[[#This Row],[Actual]]</f>
        <v>2</v>
      </c>
      <c r="H162" s="12">
        <f>DistMeetingQuota[[#This Row],[Actual]]/DistMeetingQuota[[#This Row],[Quota]]</f>
        <v>0.33333333333333331</v>
      </c>
      <c r="I162" s="4"/>
      <c r="J162" s="2"/>
      <c r="K162" s="2"/>
      <c r="L162" s="2">
        <v>1</v>
      </c>
      <c r="M162" s="2"/>
      <c r="N162" s="2"/>
      <c r="O162" s="2"/>
      <c r="P162" s="4" t="s">
        <v>14</v>
      </c>
      <c r="Q162" s="2"/>
    </row>
    <row r="163" spans="1:17" s="109" customFormat="1" ht="30">
      <c r="A163" s="4">
        <v>2089761</v>
      </c>
      <c r="B163" s="5" t="s">
        <v>156</v>
      </c>
      <c r="C163" s="4" t="s">
        <v>21</v>
      </c>
      <c r="D163" s="4" t="s">
        <v>13</v>
      </c>
      <c r="E163" s="53">
        <v>2</v>
      </c>
      <c r="F163" s="11">
        <f>SUM(DistMeetingQuota[[#This Row],[Sep]:[Feb]])</f>
        <v>2</v>
      </c>
      <c r="G163" s="11">
        <f>DistMeetingQuota[[#This Row],[Quota]]-DistMeetingQuota[[#This Row],[Actual]]</f>
        <v>0</v>
      </c>
      <c r="H163" s="12">
        <f>DistMeetingQuota[[#This Row],[Actual]]/DistMeetingQuota[[#This Row],[Quota]]</f>
        <v>1</v>
      </c>
      <c r="I163" s="4"/>
      <c r="J163" s="2">
        <v>2</v>
      </c>
      <c r="K163" s="2"/>
      <c r="L163" s="2"/>
      <c r="M163" s="2"/>
      <c r="N163" s="2"/>
      <c r="O163" s="2"/>
      <c r="P163" s="4" t="s">
        <v>14</v>
      </c>
      <c r="Q163" s="2"/>
    </row>
    <row r="164" spans="1:17" s="109" customFormat="1" ht="30">
      <c r="A164" s="4">
        <v>2091323</v>
      </c>
      <c r="B164" s="5" t="s">
        <v>157</v>
      </c>
      <c r="C164" s="4" t="s">
        <v>21</v>
      </c>
      <c r="D164" s="4" t="s">
        <v>11</v>
      </c>
      <c r="E164" s="53">
        <v>3</v>
      </c>
      <c r="F164" s="11">
        <f>SUM(DistMeetingQuota[[#This Row],[Sep]:[Feb]])</f>
        <v>0</v>
      </c>
      <c r="G164" s="11">
        <f>DistMeetingQuota[[#This Row],[Quota]]-DistMeetingQuota[[#This Row],[Actual]]</f>
        <v>3</v>
      </c>
      <c r="H164" s="12">
        <f>DistMeetingQuota[[#This Row],[Actual]]/DistMeetingQuota[[#This Row],[Quota]]</f>
        <v>0</v>
      </c>
      <c r="I164" s="4"/>
      <c r="J164" s="2"/>
      <c r="K164" s="2"/>
      <c r="L164" s="2"/>
      <c r="M164" s="2"/>
      <c r="N164" s="2"/>
      <c r="O164" s="2"/>
      <c r="P164" s="4" t="s">
        <v>14</v>
      </c>
      <c r="Q164" s="2"/>
    </row>
    <row r="165" spans="1:17" s="109" customFormat="1" ht="30">
      <c r="A165" s="4">
        <v>2091323</v>
      </c>
      <c r="B165" s="5" t="s">
        <v>157</v>
      </c>
      <c r="C165" s="4" t="s">
        <v>21</v>
      </c>
      <c r="D165" s="4" t="s">
        <v>13</v>
      </c>
      <c r="E165" s="53">
        <v>2</v>
      </c>
      <c r="F165" s="11">
        <f>SUM(DistMeetingQuota[[#This Row],[Sep]:[Feb]])</f>
        <v>0</v>
      </c>
      <c r="G165" s="11">
        <f>DistMeetingQuota[[#This Row],[Quota]]-DistMeetingQuota[[#This Row],[Actual]]</f>
        <v>2</v>
      </c>
      <c r="H165" s="12">
        <f>DistMeetingQuota[[#This Row],[Actual]]/DistMeetingQuota[[#This Row],[Quota]]</f>
        <v>0</v>
      </c>
      <c r="I165" s="4"/>
      <c r="J165" s="2"/>
      <c r="K165" s="2"/>
      <c r="L165" s="2"/>
      <c r="M165" s="2"/>
      <c r="N165" s="2"/>
      <c r="O165" s="2"/>
      <c r="P165" s="4" t="s">
        <v>14</v>
      </c>
      <c r="Q165" s="2"/>
    </row>
    <row r="166" spans="1:17" s="109" customFormat="1" ht="30">
      <c r="A166" s="4">
        <v>2010161</v>
      </c>
      <c r="B166" s="5" t="s">
        <v>158</v>
      </c>
      <c r="C166" s="4" t="s">
        <v>286</v>
      </c>
      <c r="D166" s="4" t="s">
        <v>11</v>
      </c>
      <c r="E166" s="53">
        <v>2</v>
      </c>
      <c r="F166" s="11">
        <f>SUM(DistMeetingQuota[[#This Row],[Sep]:[Feb]])</f>
        <v>0</v>
      </c>
      <c r="G166" s="11">
        <f>DistMeetingQuota[[#This Row],[Quota]]-DistMeetingQuota[[#This Row],[Actual]]</f>
        <v>2</v>
      </c>
      <c r="H166" s="12">
        <f>DistMeetingQuota[[#This Row],[Actual]]/DistMeetingQuota[[#This Row],[Quota]]</f>
        <v>0</v>
      </c>
      <c r="I166" s="4"/>
      <c r="J166" s="2"/>
      <c r="K166" s="2"/>
      <c r="L166" s="2"/>
      <c r="M166" s="2"/>
      <c r="N166" s="2"/>
      <c r="O166" s="2"/>
      <c r="P166" s="4" t="s">
        <v>14</v>
      </c>
      <c r="Q166" s="2"/>
    </row>
    <row r="167" spans="1:17" s="109" customFormat="1" ht="30">
      <c r="A167" s="4">
        <v>2094977</v>
      </c>
      <c r="B167" s="5" t="s">
        <v>159</v>
      </c>
      <c r="C167" s="4" t="s">
        <v>21</v>
      </c>
      <c r="D167" s="4" t="s">
        <v>11</v>
      </c>
      <c r="E167" s="53">
        <v>3</v>
      </c>
      <c r="F167" s="11">
        <f>SUM(DistMeetingQuota[[#This Row],[Sep]:[Feb]])</f>
        <v>0</v>
      </c>
      <c r="G167" s="11">
        <f>DistMeetingQuota[[#This Row],[Quota]]-DistMeetingQuota[[#This Row],[Actual]]</f>
        <v>3</v>
      </c>
      <c r="H167" s="12">
        <f>DistMeetingQuota[[#This Row],[Actual]]/DistMeetingQuota[[#This Row],[Quota]]</f>
        <v>0</v>
      </c>
      <c r="I167" s="4"/>
      <c r="J167" s="2"/>
      <c r="K167" s="2"/>
      <c r="L167" s="2"/>
      <c r="M167" s="2"/>
      <c r="N167" s="2"/>
      <c r="O167" s="2"/>
      <c r="P167" s="4" t="s">
        <v>14</v>
      </c>
      <c r="Q167" s="2"/>
    </row>
    <row r="168" spans="1:17" s="109" customFormat="1" ht="30">
      <c r="A168" s="4">
        <v>2094977</v>
      </c>
      <c r="B168" s="5" t="s">
        <v>159</v>
      </c>
      <c r="C168" s="4" t="s">
        <v>21</v>
      </c>
      <c r="D168" s="4" t="s">
        <v>13</v>
      </c>
      <c r="E168" s="53">
        <v>2</v>
      </c>
      <c r="F168" s="11">
        <f>SUM(DistMeetingQuota[[#This Row],[Sep]:[Feb]])</f>
        <v>0</v>
      </c>
      <c r="G168" s="11">
        <f>DistMeetingQuota[[#This Row],[Quota]]-DistMeetingQuota[[#This Row],[Actual]]</f>
        <v>2</v>
      </c>
      <c r="H168" s="12">
        <f>DistMeetingQuota[[#This Row],[Actual]]/DistMeetingQuota[[#This Row],[Quota]]</f>
        <v>0</v>
      </c>
      <c r="I168" s="4"/>
      <c r="J168" s="2"/>
      <c r="K168" s="2"/>
      <c r="L168" s="2"/>
      <c r="M168" s="2"/>
      <c r="N168" s="2"/>
      <c r="O168" s="2"/>
      <c r="P168" s="4" t="s">
        <v>14</v>
      </c>
      <c r="Q168" s="2"/>
    </row>
    <row r="169" spans="1:17" s="109" customFormat="1">
      <c r="A169" s="4">
        <v>2083464</v>
      </c>
      <c r="B169" s="5" t="s">
        <v>160</v>
      </c>
      <c r="C169" s="4" t="s">
        <v>286</v>
      </c>
      <c r="D169" s="4" t="s">
        <v>11</v>
      </c>
      <c r="E169" s="53">
        <v>2</v>
      </c>
      <c r="F169" s="11">
        <f>SUM(DistMeetingQuota[[#This Row],[Sep]:[Feb]])</f>
        <v>0</v>
      </c>
      <c r="G169" s="11">
        <f>DistMeetingQuota[[#This Row],[Quota]]-DistMeetingQuota[[#This Row],[Actual]]</f>
        <v>2</v>
      </c>
      <c r="H169" s="12">
        <f>DistMeetingQuota[[#This Row],[Actual]]/DistMeetingQuota[[#This Row],[Quota]]</f>
        <v>0</v>
      </c>
      <c r="I169" s="4"/>
      <c r="J169" s="2"/>
      <c r="K169" s="2"/>
      <c r="L169" s="2"/>
      <c r="M169" s="2"/>
      <c r="N169" s="2"/>
      <c r="O169" s="2"/>
      <c r="P169" s="4" t="s">
        <v>14</v>
      </c>
      <c r="Q169" s="2"/>
    </row>
    <row r="170" spans="1:17" s="109" customFormat="1" ht="30">
      <c r="A170" s="4">
        <v>2039242</v>
      </c>
      <c r="B170" s="5" t="s">
        <v>161</v>
      </c>
      <c r="C170" s="4" t="s">
        <v>286</v>
      </c>
      <c r="D170" s="4" t="s">
        <v>11</v>
      </c>
      <c r="E170" s="53">
        <v>2</v>
      </c>
      <c r="F170" s="11">
        <f>SUM(DistMeetingQuota[[#This Row],[Sep]:[Feb]])</f>
        <v>0</v>
      </c>
      <c r="G170" s="11">
        <f>DistMeetingQuota[[#This Row],[Quota]]-DistMeetingQuota[[#This Row],[Actual]]</f>
        <v>2</v>
      </c>
      <c r="H170" s="12">
        <f>DistMeetingQuota[[#This Row],[Actual]]/DistMeetingQuota[[#This Row],[Quota]]</f>
        <v>0</v>
      </c>
      <c r="I170" s="4"/>
      <c r="J170" s="2"/>
      <c r="K170" s="2"/>
      <c r="L170" s="2"/>
      <c r="M170" s="2"/>
      <c r="N170" s="2"/>
      <c r="O170" s="2"/>
      <c r="P170" s="4" t="s">
        <v>57</v>
      </c>
      <c r="Q170" s="2"/>
    </row>
    <row r="171" spans="1:17" s="154" customFormat="1" ht="30">
      <c r="A171" s="147">
        <v>2077313</v>
      </c>
      <c r="B171" s="148" t="s">
        <v>162</v>
      </c>
      <c r="C171" s="147" t="s">
        <v>22</v>
      </c>
      <c r="D171" s="147" t="s">
        <v>13</v>
      </c>
      <c r="E171" s="150">
        <v>3</v>
      </c>
      <c r="F171" s="157">
        <f>SUM(DistMeetingQuota[[#This Row],[Sep]:[Feb]])</f>
        <v>2</v>
      </c>
      <c r="G171" s="157">
        <f>DistMeetingQuota[[#This Row],[Quota]]-DistMeetingQuota[[#This Row],[Actual]]</f>
        <v>1</v>
      </c>
      <c r="H171" s="151">
        <f>DistMeetingQuota[[#This Row],[Actual]]/DistMeetingQuota[[#This Row],[Quota]]</f>
        <v>0.66666666666666663</v>
      </c>
      <c r="I171" s="147"/>
      <c r="J171" s="152"/>
      <c r="K171" s="152">
        <v>1</v>
      </c>
      <c r="L171" s="152"/>
      <c r="M171" s="152">
        <v>1</v>
      </c>
      <c r="N171" s="152"/>
      <c r="O171" s="152"/>
      <c r="P171" s="147" t="s">
        <v>14</v>
      </c>
      <c r="Q171" s="152"/>
    </row>
    <row r="172" spans="1:17" s="154" customFormat="1" ht="30">
      <c r="A172" s="147">
        <v>2077313</v>
      </c>
      <c r="B172" s="148" t="s">
        <v>162</v>
      </c>
      <c r="C172" s="147" t="s">
        <v>22</v>
      </c>
      <c r="D172" s="147" t="s">
        <v>487</v>
      </c>
      <c r="E172" s="150">
        <v>2</v>
      </c>
      <c r="F172" s="157">
        <f>SUM(DistMeetingQuota[[#This Row],[Sep]:[Feb]])</f>
        <v>2</v>
      </c>
      <c r="G172" s="157">
        <f>DistMeetingQuota[[#This Row],[Quota]]-DistMeetingQuota[[#This Row],[Actual]]</f>
        <v>0</v>
      </c>
      <c r="H172" s="151">
        <f>DistMeetingQuota[[#This Row],[Actual]]/DistMeetingQuota[[#This Row],[Quota]]</f>
        <v>1</v>
      </c>
      <c r="I172" s="147"/>
      <c r="J172" s="152">
        <v>2</v>
      </c>
      <c r="K172" s="152"/>
      <c r="L172" s="152"/>
      <c r="M172" s="152"/>
      <c r="N172" s="152"/>
      <c r="O172" s="152"/>
      <c r="P172" s="147" t="s">
        <v>14</v>
      </c>
      <c r="Q172" s="152"/>
    </row>
    <row r="173" spans="1:17" s="109" customFormat="1" ht="30">
      <c r="A173" s="4">
        <v>2077313</v>
      </c>
      <c r="B173" s="5" t="s">
        <v>162</v>
      </c>
      <c r="C173" s="140" t="s">
        <v>21</v>
      </c>
      <c r="D173" s="4" t="s">
        <v>13</v>
      </c>
      <c r="E173" s="53">
        <v>2</v>
      </c>
      <c r="F173" s="11">
        <f>SUM(DistMeetingQuota[[#This Row],[Sep]:[Feb]])</f>
        <v>2</v>
      </c>
      <c r="G173" s="11">
        <f>DistMeetingQuota[[#This Row],[Quota]]-DistMeetingQuota[[#This Row],[Actual]]</f>
        <v>0</v>
      </c>
      <c r="H173" s="12">
        <f>DistMeetingQuota[[#This Row],[Actual]]/DistMeetingQuota[[#This Row],[Quota]]</f>
        <v>1</v>
      </c>
      <c r="I173" s="4">
        <v>1</v>
      </c>
      <c r="J173" s="2">
        <v>1</v>
      </c>
      <c r="K173" s="2"/>
      <c r="L173" s="2"/>
      <c r="M173" s="2"/>
      <c r="N173" s="2"/>
      <c r="O173" s="2"/>
      <c r="P173" s="4" t="s">
        <v>14</v>
      </c>
      <c r="Q173" s="2"/>
    </row>
    <row r="174" spans="1:17" s="109" customFormat="1">
      <c r="A174" s="4">
        <v>2016378</v>
      </c>
      <c r="B174" s="5" t="s">
        <v>163</v>
      </c>
      <c r="C174" s="4" t="s">
        <v>286</v>
      </c>
      <c r="D174" s="4" t="s">
        <v>5</v>
      </c>
      <c r="E174" s="53">
        <v>24</v>
      </c>
      <c r="F174" s="11">
        <f>SUM(DistMeetingQuota[[#This Row],[Sep]:[Feb]])</f>
        <v>2</v>
      </c>
      <c r="G174" s="11">
        <f>DistMeetingQuota[[#This Row],[Quota]]-DistMeetingQuota[[#This Row],[Actual]]</f>
        <v>22</v>
      </c>
      <c r="H174" s="12">
        <f>DistMeetingQuota[[#This Row],[Actual]]/DistMeetingQuota[[#This Row],[Quota]]</f>
        <v>8.3333333333333329E-2</v>
      </c>
      <c r="I174" s="4"/>
      <c r="J174" s="2"/>
      <c r="K174" s="2"/>
      <c r="L174" s="2"/>
      <c r="M174" s="2">
        <v>2</v>
      </c>
      <c r="N174" s="2"/>
      <c r="O174" s="2"/>
      <c r="P174" s="4" t="s">
        <v>6</v>
      </c>
      <c r="Q174" s="2"/>
    </row>
    <row r="175" spans="1:17" s="109" customFormat="1">
      <c r="A175" s="4">
        <v>2016378</v>
      </c>
      <c r="B175" s="5" t="s">
        <v>163</v>
      </c>
      <c r="C175" s="4" t="s">
        <v>286</v>
      </c>
      <c r="D175" s="4" t="s">
        <v>11</v>
      </c>
      <c r="E175" s="53">
        <v>2</v>
      </c>
      <c r="F175" s="11">
        <f>SUM(DistMeetingQuota[[#This Row],[Sep]:[Feb]])</f>
        <v>1</v>
      </c>
      <c r="G175" s="11">
        <f>DistMeetingQuota[[#This Row],[Quota]]-DistMeetingQuota[[#This Row],[Actual]]</f>
        <v>1</v>
      </c>
      <c r="H175" s="12">
        <f>DistMeetingQuota[[#This Row],[Actual]]/DistMeetingQuota[[#This Row],[Quota]]</f>
        <v>0.5</v>
      </c>
      <c r="I175" s="4"/>
      <c r="J175" s="2">
        <v>1</v>
      </c>
      <c r="K175" s="2"/>
      <c r="L175" s="2"/>
      <c r="M175" s="2"/>
      <c r="N175" s="2"/>
      <c r="O175" s="2"/>
      <c r="P175" s="4" t="s">
        <v>6</v>
      </c>
      <c r="Q175" s="2"/>
    </row>
    <row r="176" spans="1:17" s="109" customFormat="1">
      <c r="A176" s="4">
        <v>2026241</v>
      </c>
      <c r="B176" s="5" t="s">
        <v>164</v>
      </c>
      <c r="C176" s="4" t="s">
        <v>21</v>
      </c>
      <c r="D176" s="4" t="s">
        <v>13</v>
      </c>
      <c r="E176" s="53">
        <v>2</v>
      </c>
      <c r="F176" s="11">
        <f>SUM(DistMeetingQuota[[#This Row],[Sep]:[Feb]])</f>
        <v>2</v>
      </c>
      <c r="G176" s="11">
        <f>DistMeetingQuota[[#This Row],[Quota]]-DistMeetingQuota[[#This Row],[Actual]]</f>
        <v>0</v>
      </c>
      <c r="H176" s="12">
        <f>DistMeetingQuota[[#This Row],[Actual]]/DistMeetingQuota[[#This Row],[Quota]]</f>
        <v>1</v>
      </c>
      <c r="I176" s="4"/>
      <c r="J176" s="2">
        <v>2</v>
      </c>
      <c r="K176" s="2"/>
      <c r="L176" s="2"/>
      <c r="M176" s="2"/>
      <c r="N176" s="2"/>
      <c r="O176" s="2"/>
      <c r="P176" s="4" t="s">
        <v>14</v>
      </c>
      <c r="Q176" s="2"/>
    </row>
    <row r="177" spans="1:17" s="109" customFormat="1">
      <c r="A177" s="4">
        <v>2026241</v>
      </c>
      <c r="B177" s="5" t="s">
        <v>164</v>
      </c>
      <c r="C177" s="4" t="s">
        <v>21</v>
      </c>
      <c r="D177" s="4" t="s">
        <v>11</v>
      </c>
      <c r="E177" s="53">
        <v>3</v>
      </c>
      <c r="F177" s="11">
        <f>SUM(DistMeetingQuota[[#This Row],[Sep]:[Feb]])</f>
        <v>1</v>
      </c>
      <c r="G177" s="11">
        <f>DistMeetingQuota[[#This Row],[Quota]]-DistMeetingQuota[[#This Row],[Actual]]</f>
        <v>2</v>
      </c>
      <c r="H177" s="12">
        <f>DistMeetingQuota[[#This Row],[Actual]]/DistMeetingQuota[[#This Row],[Quota]]</f>
        <v>0.33333333333333331</v>
      </c>
      <c r="I177" s="4">
        <v>1</v>
      </c>
      <c r="J177" s="2"/>
      <c r="K177" s="2"/>
      <c r="L177" s="2"/>
      <c r="M177" s="2"/>
      <c r="N177" s="2"/>
      <c r="O177" s="2"/>
      <c r="P177" s="4" t="s">
        <v>14</v>
      </c>
      <c r="Q177" s="2"/>
    </row>
    <row r="178" spans="1:17" s="154" customFormat="1">
      <c r="A178" s="147">
        <v>2079775</v>
      </c>
      <c r="B178" s="148" t="s">
        <v>165</v>
      </c>
      <c r="C178" s="147" t="s">
        <v>21</v>
      </c>
      <c r="D178" s="147" t="s">
        <v>11</v>
      </c>
      <c r="E178" s="150">
        <v>3</v>
      </c>
      <c r="F178" s="157">
        <f>SUM(DistMeetingQuota[[#This Row],[Sep]:[Feb]])</f>
        <v>2</v>
      </c>
      <c r="G178" s="157">
        <f>DistMeetingQuota[[#This Row],[Quota]]-DistMeetingQuota[[#This Row],[Actual]]</f>
        <v>1</v>
      </c>
      <c r="H178" s="151">
        <f>DistMeetingQuota[[#This Row],[Actual]]/DistMeetingQuota[[#This Row],[Quota]]</f>
        <v>0.66666666666666663</v>
      </c>
      <c r="I178" s="147"/>
      <c r="J178" s="152">
        <v>2</v>
      </c>
      <c r="K178" s="152"/>
      <c r="L178" s="152"/>
      <c r="M178" s="152"/>
      <c r="N178" s="152"/>
      <c r="O178" s="147"/>
      <c r="P178" s="147" t="s">
        <v>10</v>
      </c>
      <c r="Q178" s="152"/>
    </row>
    <row r="179" spans="1:17" s="109" customFormat="1">
      <c r="A179" s="4">
        <v>2079775</v>
      </c>
      <c r="B179" s="5" t="s">
        <v>165</v>
      </c>
      <c r="C179" s="4" t="s">
        <v>21</v>
      </c>
      <c r="D179" s="4" t="s">
        <v>13</v>
      </c>
      <c r="E179" s="53">
        <v>2</v>
      </c>
      <c r="F179" s="11">
        <f>SUM(DistMeetingQuota[[#This Row],[Sep]:[Feb]])</f>
        <v>2</v>
      </c>
      <c r="G179" s="11">
        <f>DistMeetingQuota[[#This Row],[Quota]]-DistMeetingQuota[[#This Row],[Actual]]</f>
        <v>0</v>
      </c>
      <c r="H179" s="12">
        <f>DistMeetingQuota[[#This Row],[Actual]]/DistMeetingQuota[[#This Row],[Quota]]</f>
        <v>1</v>
      </c>
      <c r="I179" s="4"/>
      <c r="J179" s="2"/>
      <c r="K179" s="2">
        <v>2</v>
      </c>
      <c r="L179" s="2"/>
      <c r="M179" s="2"/>
      <c r="N179" s="2"/>
      <c r="O179" s="2"/>
      <c r="P179" s="4" t="s">
        <v>10</v>
      </c>
      <c r="Q179" s="2"/>
    </row>
    <row r="180" spans="1:17" s="109" customFormat="1" ht="30">
      <c r="A180" s="4">
        <v>2078383</v>
      </c>
      <c r="B180" s="5" t="s">
        <v>166</v>
      </c>
      <c r="C180" s="4" t="s">
        <v>21</v>
      </c>
      <c r="D180" s="4" t="s">
        <v>11</v>
      </c>
      <c r="E180" s="53">
        <v>3</v>
      </c>
      <c r="F180" s="11">
        <f>SUM(DistMeetingQuota[[#This Row],[Sep]:[Feb]])</f>
        <v>0</v>
      </c>
      <c r="G180" s="11">
        <f>DistMeetingQuota[[#This Row],[Quota]]-DistMeetingQuota[[#This Row],[Actual]]</f>
        <v>3</v>
      </c>
      <c r="H180" s="12">
        <f>DistMeetingQuota[[#This Row],[Actual]]/DistMeetingQuota[[#This Row],[Quota]]</f>
        <v>0</v>
      </c>
      <c r="I180" s="4"/>
      <c r="J180" s="2"/>
      <c r="K180" s="2"/>
      <c r="L180" s="2"/>
      <c r="M180" s="2"/>
      <c r="N180" s="2"/>
      <c r="O180" s="2"/>
      <c r="P180" s="4" t="s">
        <v>14</v>
      </c>
      <c r="Q180" s="2"/>
    </row>
    <row r="181" spans="1:17" s="109" customFormat="1" ht="30">
      <c r="A181" s="4">
        <v>2078383</v>
      </c>
      <c r="B181" s="5" t="s">
        <v>166</v>
      </c>
      <c r="C181" s="4" t="s">
        <v>21</v>
      </c>
      <c r="D181" s="4" t="s">
        <v>13</v>
      </c>
      <c r="E181" s="53">
        <v>2</v>
      </c>
      <c r="F181" s="11">
        <f>SUM(DistMeetingQuota[[#This Row],[Sep]:[Feb]])</f>
        <v>0</v>
      </c>
      <c r="G181" s="11">
        <f>DistMeetingQuota[[#This Row],[Quota]]-DistMeetingQuota[[#This Row],[Actual]]</f>
        <v>2</v>
      </c>
      <c r="H181" s="49">
        <f>DistMeetingQuota[[#This Row],[Actual]]/DistMeetingQuota[[#This Row],[Quota]]</f>
        <v>0</v>
      </c>
      <c r="I181" s="4"/>
      <c r="J181" s="2"/>
      <c r="K181" s="2"/>
      <c r="L181" s="2"/>
      <c r="M181" s="2"/>
      <c r="N181" s="2"/>
      <c r="O181" s="2"/>
      <c r="P181" s="4" t="s">
        <v>14</v>
      </c>
      <c r="Q181" s="2"/>
    </row>
    <row r="182" spans="1:17" s="109" customFormat="1" ht="30">
      <c r="A182" s="4">
        <v>2083824</v>
      </c>
      <c r="B182" s="5" t="s">
        <v>167</v>
      </c>
      <c r="C182" s="4" t="s">
        <v>33</v>
      </c>
      <c r="D182" s="4" t="s">
        <v>11</v>
      </c>
      <c r="E182" s="53">
        <v>2</v>
      </c>
      <c r="F182" s="11">
        <f>SUM(DistMeetingQuota[[#This Row],[Sep]:[Feb]])</f>
        <v>0</v>
      </c>
      <c r="G182" s="11">
        <f>DistMeetingQuota[[#This Row],[Quota]]-DistMeetingQuota[[#This Row],[Actual]]</f>
        <v>2</v>
      </c>
      <c r="H182" s="12">
        <f>DistMeetingQuota[[#This Row],[Actual]]/DistMeetingQuota[[#This Row],[Quota]]</f>
        <v>0</v>
      </c>
      <c r="I182" s="4"/>
      <c r="J182" s="2"/>
      <c r="K182" s="2"/>
      <c r="L182" s="2"/>
      <c r="M182" s="2"/>
      <c r="N182" s="2"/>
      <c r="O182" s="2"/>
      <c r="P182" s="4" t="s">
        <v>14</v>
      </c>
      <c r="Q182" s="2"/>
    </row>
    <row r="183" spans="1:17" s="109" customFormat="1" ht="30">
      <c r="A183" s="4">
        <v>2014623</v>
      </c>
      <c r="B183" s="5" t="s">
        <v>168</v>
      </c>
      <c r="C183" s="4" t="s">
        <v>33</v>
      </c>
      <c r="D183" s="4" t="s">
        <v>11</v>
      </c>
      <c r="E183" s="53">
        <v>2</v>
      </c>
      <c r="F183" s="11">
        <f>SUM(DistMeetingQuota[[#This Row],[Sep]:[Feb]])</f>
        <v>0</v>
      </c>
      <c r="G183" s="11">
        <f>DistMeetingQuota[[#This Row],[Quota]]-DistMeetingQuota[[#This Row],[Actual]]</f>
        <v>2</v>
      </c>
      <c r="H183" s="12">
        <f>DistMeetingQuota[[#This Row],[Actual]]/DistMeetingQuota[[#This Row],[Quota]]</f>
        <v>0</v>
      </c>
      <c r="I183" s="4"/>
      <c r="J183" s="2"/>
      <c r="K183" s="2"/>
      <c r="L183" s="2"/>
      <c r="M183" s="2"/>
      <c r="N183" s="2"/>
      <c r="O183" s="2"/>
      <c r="P183" s="4" t="s">
        <v>14</v>
      </c>
      <c r="Q183" s="2"/>
    </row>
    <row r="184" spans="1:17" s="109" customFormat="1" ht="30">
      <c r="A184" s="4">
        <v>2018505</v>
      </c>
      <c r="B184" s="5" t="s">
        <v>169</v>
      </c>
      <c r="C184" s="4" t="s">
        <v>286</v>
      </c>
      <c r="D184" s="4" t="s">
        <v>11</v>
      </c>
      <c r="E184" s="53">
        <v>2</v>
      </c>
      <c r="F184" s="11">
        <f>SUM(DistMeetingQuota[[#This Row],[Sep]:[Feb]])</f>
        <v>0</v>
      </c>
      <c r="G184" s="11">
        <f>DistMeetingQuota[[#This Row],[Quota]]-DistMeetingQuota[[#This Row],[Actual]]</f>
        <v>2</v>
      </c>
      <c r="H184" s="12">
        <f>DistMeetingQuota[[#This Row],[Actual]]/DistMeetingQuota[[#This Row],[Quota]]</f>
        <v>0</v>
      </c>
      <c r="I184" s="4"/>
      <c r="J184" s="2"/>
      <c r="K184" s="2"/>
      <c r="L184" s="2"/>
      <c r="M184" s="2"/>
      <c r="N184" s="2"/>
      <c r="O184" s="2"/>
      <c r="P184" s="4" t="s">
        <v>14</v>
      </c>
      <c r="Q184" s="2"/>
    </row>
    <row r="185" spans="1:17" s="109" customFormat="1" ht="30">
      <c r="A185" s="4">
        <v>2027574</v>
      </c>
      <c r="B185" s="5" t="s">
        <v>170</v>
      </c>
      <c r="C185" s="4" t="s">
        <v>286</v>
      </c>
      <c r="D185" s="4" t="s">
        <v>11</v>
      </c>
      <c r="E185" s="53">
        <v>2</v>
      </c>
      <c r="F185" s="11">
        <f>SUM(DistMeetingQuota[[#This Row],[Sep]:[Feb]])</f>
        <v>0</v>
      </c>
      <c r="G185" s="11">
        <f>DistMeetingQuota[[#This Row],[Quota]]-DistMeetingQuota[[#This Row],[Actual]]</f>
        <v>2</v>
      </c>
      <c r="H185" s="12">
        <f>DistMeetingQuota[[#This Row],[Actual]]/DistMeetingQuota[[#This Row],[Quota]]</f>
        <v>0</v>
      </c>
      <c r="I185" s="4"/>
      <c r="J185" s="2"/>
      <c r="K185" s="2"/>
      <c r="L185" s="2"/>
      <c r="M185" s="2"/>
      <c r="N185" s="2"/>
      <c r="O185" s="2"/>
      <c r="P185" s="4" t="s">
        <v>10</v>
      </c>
      <c r="Q185" s="2"/>
    </row>
    <row r="186" spans="1:17" s="109" customFormat="1">
      <c r="A186" s="4">
        <v>2022195</v>
      </c>
      <c r="B186" s="5" t="s">
        <v>493</v>
      </c>
      <c r="C186" s="4" t="s">
        <v>286</v>
      </c>
      <c r="D186" s="4" t="s">
        <v>11</v>
      </c>
      <c r="E186" s="53">
        <v>2</v>
      </c>
      <c r="F186" s="11">
        <f>SUM(DistMeetingQuota[[#This Row],[Sep]:[Feb]])</f>
        <v>0</v>
      </c>
      <c r="G186" s="11">
        <f>DistMeetingQuota[[#This Row],[Quota]]-DistMeetingQuota[[#This Row],[Actual]]</f>
        <v>2</v>
      </c>
      <c r="H186" s="12">
        <f>DistMeetingQuota[[#This Row],[Actual]]/DistMeetingQuota[[#This Row],[Quota]]</f>
        <v>0</v>
      </c>
      <c r="I186" s="4"/>
      <c r="J186" s="2"/>
      <c r="K186" s="2"/>
      <c r="L186" s="2"/>
      <c r="M186" s="2"/>
      <c r="N186" s="2"/>
      <c r="O186" s="2"/>
      <c r="P186" s="4" t="s">
        <v>10</v>
      </c>
      <c r="Q186" s="2"/>
    </row>
    <row r="187" spans="1:17" s="109" customFormat="1" ht="30">
      <c r="A187" s="4">
        <v>2053415</v>
      </c>
      <c r="B187" s="5" t="s">
        <v>171</v>
      </c>
      <c r="C187" s="4" t="s">
        <v>286</v>
      </c>
      <c r="D187" s="4" t="s">
        <v>11</v>
      </c>
      <c r="E187" s="53">
        <v>2</v>
      </c>
      <c r="F187" s="11">
        <f>SUM(DistMeetingQuota[[#This Row],[Sep]:[Feb]])</f>
        <v>0</v>
      </c>
      <c r="G187" s="11">
        <f>DistMeetingQuota[[#This Row],[Quota]]-DistMeetingQuota[[#This Row],[Actual]]</f>
        <v>2</v>
      </c>
      <c r="H187" s="12">
        <f>DistMeetingQuota[[#This Row],[Actual]]/DistMeetingQuota[[#This Row],[Quota]]</f>
        <v>0</v>
      </c>
      <c r="I187" s="4"/>
      <c r="J187" s="2"/>
      <c r="K187" s="2"/>
      <c r="L187" s="2"/>
      <c r="M187" s="2"/>
      <c r="N187" s="2"/>
      <c r="O187" s="2"/>
      <c r="P187" s="4" t="s">
        <v>14</v>
      </c>
      <c r="Q187" s="2"/>
    </row>
    <row r="188" spans="1:17" s="109" customFormat="1" ht="30">
      <c r="A188" s="4">
        <v>2116750</v>
      </c>
      <c r="B188" s="5" t="s">
        <v>172</v>
      </c>
      <c r="C188" s="4" t="s">
        <v>22</v>
      </c>
      <c r="D188" s="4" t="s">
        <v>13</v>
      </c>
      <c r="E188" s="53">
        <v>3</v>
      </c>
      <c r="F188" s="11">
        <f>SUM(DistMeetingQuota[[#This Row],[Sep]:[Feb]])</f>
        <v>3</v>
      </c>
      <c r="G188" s="11">
        <f>DistMeetingQuota[[#This Row],[Quota]]-DistMeetingQuota[[#This Row],[Actual]]</f>
        <v>0</v>
      </c>
      <c r="H188" s="12">
        <f>DistMeetingQuota[[#This Row],[Actual]]/DistMeetingQuota[[#This Row],[Quota]]</f>
        <v>1</v>
      </c>
      <c r="I188" s="4">
        <v>1</v>
      </c>
      <c r="J188" s="2"/>
      <c r="K188" s="2">
        <v>1</v>
      </c>
      <c r="L188" s="2"/>
      <c r="M188" s="2"/>
      <c r="N188" s="2">
        <v>1</v>
      </c>
      <c r="O188" s="2"/>
      <c r="P188" s="4" t="s">
        <v>57</v>
      </c>
      <c r="Q188" s="2"/>
    </row>
    <row r="189" spans="1:17" s="109" customFormat="1" ht="30">
      <c r="A189" s="4">
        <v>2116750</v>
      </c>
      <c r="B189" s="5" t="s">
        <v>172</v>
      </c>
      <c r="C189" s="4" t="s">
        <v>22</v>
      </c>
      <c r="D189" s="4" t="s">
        <v>487</v>
      </c>
      <c r="E189" s="53">
        <v>2</v>
      </c>
      <c r="F189" s="11">
        <f>SUM(DistMeetingQuota[[#This Row],[Sep]:[Feb]])</f>
        <v>2</v>
      </c>
      <c r="G189" s="11">
        <f>DistMeetingQuota[[#This Row],[Quota]]-DistMeetingQuota[[#This Row],[Actual]]</f>
        <v>0</v>
      </c>
      <c r="H189" s="12">
        <f>DistMeetingQuota[[#This Row],[Actual]]/DistMeetingQuota[[#This Row],[Quota]]</f>
        <v>1</v>
      </c>
      <c r="I189" s="4"/>
      <c r="J189" s="2">
        <v>2</v>
      </c>
      <c r="K189" s="2"/>
      <c r="L189" s="2"/>
      <c r="M189" s="2"/>
      <c r="N189" s="2"/>
      <c r="O189" s="2"/>
      <c r="P189" s="4" t="s">
        <v>57</v>
      </c>
      <c r="Q189" s="2"/>
    </row>
    <row r="190" spans="1:17" s="109" customFormat="1" ht="30">
      <c r="A190" s="4">
        <v>2056096</v>
      </c>
      <c r="B190" s="5" t="s">
        <v>173</v>
      </c>
      <c r="C190" s="4" t="s">
        <v>286</v>
      </c>
      <c r="D190" s="4" t="s">
        <v>11</v>
      </c>
      <c r="E190" s="53">
        <v>2</v>
      </c>
      <c r="F190" s="11">
        <f>SUM(DistMeetingQuota[[#This Row],[Sep]:[Feb]])</f>
        <v>2</v>
      </c>
      <c r="G190" s="11">
        <f>DistMeetingQuota[[#This Row],[Quota]]-DistMeetingQuota[[#This Row],[Actual]]</f>
        <v>0</v>
      </c>
      <c r="H190" s="12">
        <f>DistMeetingQuota[[#This Row],[Actual]]/DistMeetingQuota[[#This Row],[Quota]]</f>
        <v>1</v>
      </c>
      <c r="I190" s="4"/>
      <c r="J190" s="2"/>
      <c r="K190" s="2">
        <v>2</v>
      </c>
      <c r="L190" s="2"/>
      <c r="M190" s="2"/>
      <c r="N190" s="2"/>
      <c r="O190" s="2"/>
      <c r="P190" s="4" t="s">
        <v>14</v>
      </c>
      <c r="Q190" s="2"/>
    </row>
    <row r="191" spans="1:17" s="154" customFormat="1">
      <c r="A191" s="147">
        <v>2100350</v>
      </c>
      <c r="B191" s="148" t="s">
        <v>954</v>
      </c>
      <c r="C191" s="147" t="s">
        <v>22</v>
      </c>
      <c r="D191" s="147" t="s">
        <v>13</v>
      </c>
      <c r="E191" s="150">
        <v>2</v>
      </c>
      <c r="F191" s="157">
        <f>SUM(DistMeetingQuota[[#This Row],[Sep]:[Feb]])</f>
        <v>1</v>
      </c>
      <c r="G191" s="157">
        <f>DistMeetingQuota[[#This Row],[Quota]]-DistMeetingQuota[[#This Row],[Actual]]</f>
        <v>1</v>
      </c>
      <c r="H191" s="151">
        <f>DistMeetingQuota[[#This Row],[Actual]]/DistMeetingQuota[[#This Row],[Quota]]</f>
        <v>0.5</v>
      </c>
      <c r="I191" s="147"/>
      <c r="J191" s="152"/>
      <c r="K191" s="152"/>
      <c r="L191" s="152"/>
      <c r="M191" s="152">
        <v>1</v>
      </c>
      <c r="N191" s="152"/>
      <c r="O191" s="152" t="s">
        <v>1132</v>
      </c>
      <c r="P191" s="147" t="s">
        <v>10</v>
      </c>
      <c r="Q191" s="152"/>
    </row>
    <row r="192" spans="1:17" s="109" customFormat="1">
      <c r="A192" s="4">
        <v>2100350</v>
      </c>
      <c r="B192" s="138" t="s">
        <v>954</v>
      </c>
      <c r="C192" s="4" t="s">
        <v>22</v>
      </c>
      <c r="D192" s="4" t="s">
        <v>13</v>
      </c>
      <c r="E192" s="53">
        <v>3</v>
      </c>
      <c r="F192" s="11">
        <f>SUM(DistMeetingQuota[[#This Row],[Sep]:[Feb]])</f>
        <v>3</v>
      </c>
      <c r="G192" s="11">
        <f>DistMeetingQuota[[#This Row],[Quota]]-DistMeetingQuota[[#This Row],[Actual]]</f>
        <v>0</v>
      </c>
      <c r="H192" s="12">
        <f>DistMeetingQuota[[#This Row],[Actual]]/DistMeetingQuota[[#This Row],[Quota]]</f>
        <v>1</v>
      </c>
      <c r="I192" s="4">
        <v>3</v>
      </c>
      <c r="J192" s="2"/>
      <c r="K192" s="2"/>
      <c r="L192" s="2"/>
      <c r="M192" s="2"/>
      <c r="N192" s="2"/>
      <c r="O192" s="2"/>
      <c r="P192" s="4" t="s">
        <v>10</v>
      </c>
      <c r="Q192" s="2"/>
    </row>
    <row r="193" spans="1:17" s="109" customFormat="1">
      <c r="A193" s="4">
        <v>2100350</v>
      </c>
      <c r="B193" s="138" t="s">
        <v>954</v>
      </c>
      <c r="C193" s="4" t="s">
        <v>22</v>
      </c>
      <c r="D193" s="4" t="s">
        <v>487</v>
      </c>
      <c r="E193" s="53">
        <v>1</v>
      </c>
      <c r="F193" s="11">
        <f>SUM(DistMeetingQuota[[#This Row],[Sep]:[Feb]])</f>
        <v>0</v>
      </c>
      <c r="G193" s="11">
        <f>DistMeetingQuota[[#This Row],[Quota]]-DistMeetingQuota[[#This Row],[Actual]]</f>
        <v>1</v>
      </c>
      <c r="H193" s="12">
        <f>DistMeetingQuota[[#This Row],[Actual]]/DistMeetingQuota[[#This Row],[Quota]]</f>
        <v>0</v>
      </c>
      <c r="I193" s="4"/>
      <c r="J193" s="2"/>
      <c r="K193" s="2"/>
      <c r="L193" s="2"/>
      <c r="M193" s="2"/>
      <c r="N193" s="2"/>
      <c r="O193" s="2"/>
      <c r="P193" s="4" t="s">
        <v>10</v>
      </c>
      <c r="Q193" s="2"/>
    </row>
    <row r="194" spans="1:17" s="109" customFormat="1">
      <c r="A194" s="4">
        <v>2011966</v>
      </c>
      <c r="B194" s="5" t="s">
        <v>174</v>
      </c>
      <c r="C194" s="4" t="s">
        <v>286</v>
      </c>
      <c r="D194" s="4" t="s">
        <v>11</v>
      </c>
      <c r="E194" s="53">
        <v>2</v>
      </c>
      <c r="F194" s="11">
        <f>SUM(DistMeetingQuota[[#This Row],[Sep]:[Feb]])</f>
        <v>0</v>
      </c>
      <c r="G194" s="11">
        <f>DistMeetingQuota[[#This Row],[Quota]]-DistMeetingQuota[[#This Row],[Actual]]</f>
        <v>2</v>
      </c>
      <c r="H194" s="12">
        <f>DistMeetingQuota[[#This Row],[Actual]]/DistMeetingQuota[[#This Row],[Quota]]</f>
        <v>0</v>
      </c>
      <c r="I194" s="4"/>
      <c r="J194" s="2"/>
      <c r="K194" s="2"/>
      <c r="L194" s="2"/>
      <c r="M194" s="2"/>
      <c r="N194" s="2"/>
      <c r="O194" s="2"/>
      <c r="P194" s="4" t="s">
        <v>10</v>
      </c>
      <c r="Q194" s="2"/>
    </row>
    <row r="195" spans="1:17" s="109" customFormat="1">
      <c r="A195" s="4">
        <v>2082622</v>
      </c>
      <c r="B195" s="5" t="s">
        <v>175</v>
      </c>
      <c r="C195" s="4" t="s">
        <v>21</v>
      </c>
      <c r="D195" s="4" t="s">
        <v>11</v>
      </c>
      <c r="E195" s="53">
        <v>3</v>
      </c>
      <c r="F195" s="11">
        <f>SUM(DistMeetingQuota[[#This Row],[Sep]:[Feb]])</f>
        <v>0</v>
      </c>
      <c r="G195" s="11">
        <f>DistMeetingQuota[[#This Row],[Quota]]-DistMeetingQuota[[#This Row],[Actual]]</f>
        <v>3</v>
      </c>
      <c r="H195" s="12">
        <f>DistMeetingQuota[[#This Row],[Actual]]/DistMeetingQuota[[#This Row],[Quota]]</f>
        <v>0</v>
      </c>
      <c r="I195" s="4"/>
      <c r="J195" s="2"/>
      <c r="K195" s="2"/>
      <c r="L195" s="2"/>
      <c r="M195" s="2"/>
      <c r="N195" s="2"/>
      <c r="O195" s="2"/>
      <c r="P195" s="4" t="s">
        <v>14</v>
      </c>
      <c r="Q195" s="2"/>
    </row>
    <row r="196" spans="1:17" s="109" customFormat="1">
      <c r="A196" s="4">
        <v>2082622</v>
      </c>
      <c r="B196" s="5" t="s">
        <v>175</v>
      </c>
      <c r="C196" s="4" t="s">
        <v>21</v>
      </c>
      <c r="D196" s="4" t="s">
        <v>13</v>
      </c>
      <c r="E196" s="53">
        <v>2</v>
      </c>
      <c r="F196" s="11">
        <f>SUM(DistMeetingQuota[[#This Row],[Sep]:[Feb]])</f>
        <v>0</v>
      </c>
      <c r="G196" s="11">
        <f>DistMeetingQuota[[#This Row],[Quota]]-DistMeetingQuota[[#This Row],[Actual]]</f>
        <v>2</v>
      </c>
      <c r="H196" s="12">
        <f>DistMeetingQuota[[#This Row],[Actual]]/DistMeetingQuota[[#This Row],[Quota]]</f>
        <v>0</v>
      </c>
      <c r="I196" s="4"/>
      <c r="J196" s="2"/>
      <c r="K196" s="2"/>
      <c r="L196" s="2"/>
      <c r="M196" s="2"/>
      <c r="N196" s="2"/>
      <c r="O196" s="2"/>
      <c r="P196" s="4" t="s">
        <v>14</v>
      </c>
      <c r="Q196" s="2"/>
    </row>
    <row r="197" spans="1:17" s="109" customFormat="1" ht="30">
      <c r="A197" s="4">
        <v>2048166</v>
      </c>
      <c r="B197" s="5" t="s">
        <v>176</v>
      </c>
      <c r="C197" s="4" t="s">
        <v>286</v>
      </c>
      <c r="D197" s="4" t="s">
        <v>11</v>
      </c>
      <c r="E197" s="53">
        <v>2</v>
      </c>
      <c r="F197" s="11">
        <f>SUM(DistMeetingQuota[[#This Row],[Sep]:[Feb]])</f>
        <v>0</v>
      </c>
      <c r="G197" s="11">
        <f>DistMeetingQuota[[#This Row],[Quota]]-DistMeetingQuota[[#This Row],[Actual]]</f>
        <v>2</v>
      </c>
      <c r="H197" s="12">
        <f>DistMeetingQuota[[#This Row],[Actual]]/DistMeetingQuota[[#This Row],[Quota]]</f>
        <v>0</v>
      </c>
      <c r="I197" s="4"/>
      <c r="J197" s="2"/>
      <c r="K197" s="2"/>
      <c r="L197" s="2"/>
      <c r="M197" s="2"/>
      <c r="N197" s="2"/>
      <c r="O197" s="2"/>
      <c r="P197" s="4" t="s">
        <v>14</v>
      </c>
      <c r="Q197" s="2"/>
    </row>
    <row r="198" spans="1:17" s="109" customFormat="1" ht="30">
      <c r="A198" s="4">
        <v>2091798</v>
      </c>
      <c r="B198" s="5" t="s">
        <v>177</v>
      </c>
      <c r="C198" s="4" t="s">
        <v>286</v>
      </c>
      <c r="D198" s="4" t="s">
        <v>11</v>
      </c>
      <c r="E198" s="53">
        <v>2</v>
      </c>
      <c r="F198" s="11">
        <f>SUM(DistMeetingQuota[[#This Row],[Sep]:[Feb]])</f>
        <v>2</v>
      </c>
      <c r="G198" s="11">
        <f>DistMeetingQuota[[#This Row],[Quota]]-DistMeetingQuota[[#This Row],[Actual]]</f>
        <v>0</v>
      </c>
      <c r="H198" s="12">
        <f>DistMeetingQuota[[#This Row],[Actual]]/DistMeetingQuota[[#This Row],[Quota]]</f>
        <v>1</v>
      </c>
      <c r="I198" s="4">
        <v>1</v>
      </c>
      <c r="J198" s="2"/>
      <c r="K198" s="2"/>
      <c r="L198" s="2">
        <v>1</v>
      </c>
      <c r="M198" s="2"/>
      <c r="N198" s="2"/>
      <c r="O198" s="2"/>
      <c r="P198" s="4" t="s">
        <v>14</v>
      </c>
      <c r="Q198" s="2"/>
    </row>
    <row r="199" spans="1:17" s="109" customFormat="1" ht="30">
      <c r="A199" s="4">
        <v>2016581</v>
      </c>
      <c r="B199" s="5" t="s">
        <v>179</v>
      </c>
      <c r="C199" s="4" t="s">
        <v>286</v>
      </c>
      <c r="D199" s="4" t="s">
        <v>11</v>
      </c>
      <c r="E199" s="53">
        <v>2</v>
      </c>
      <c r="F199" s="11">
        <f>SUM(DistMeetingQuota[[#This Row],[Sep]:[Feb]])</f>
        <v>0</v>
      </c>
      <c r="G199" s="11">
        <f>DistMeetingQuota[[#This Row],[Quota]]-DistMeetingQuota[[#This Row],[Actual]]</f>
        <v>2</v>
      </c>
      <c r="H199" s="12">
        <f>DistMeetingQuota[[#This Row],[Actual]]/DistMeetingQuota[[#This Row],[Quota]]</f>
        <v>0</v>
      </c>
      <c r="I199" s="4"/>
      <c r="J199" s="2"/>
      <c r="K199" s="2"/>
      <c r="L199" s="2"/>
      <c r="M199" s="2"/>
      <c r="N199" s="2"/>
      <c r="O199" s="2"/>
      <c r="P199" s="4" t="s">
        <v>14</v>
      </c>
      <c r="Q199" s="2"/>
    </row>
    <row r="200" spans="1:17" s="109" customFormat="1" ht="30">
      <c r="A200" s="4">
        <v>2035290</v>
      </c>
      <c r="B200" s="5" t="s">
        <v>180</v>
      </c>
      <c r="C200" s="4" t="s">
        <v>286</v>
      </c>
      <c r="D200" s="4" t="s">
        <v>5</v>
      </c>
      <c r="E200" s="53">
        <v>24</v>
      </c>
      <c r="F200" s="11">
        <f>SUM(DistMeetingQuota[[#This Row],[Sep]:[Feb]])</f>
        <v>4</v>
      </c>
      <c r="G200" s="11">
        <f>DistMeetingQuota[[#This Row],[Quota]]-DistMeetingQuota[[#This Row],[Actual]]</f>
        <v>20</v>
      </c>
      <c r="H200" s="12">
        <f>DistMeetingQuota[[#This Row],[Actual]]/DistMeetingQuota[[#This Row],[Quota]]</f>
        <v>0.16666666666666666</v>
      </c>
      <c r="I200" s="4"/>
      <c r="J200" s="2"/>
      <c r="K200" s="2"/>
      <c r="L200" s="2"/>
      <c r="M200" s="2">
        <v>4</v>
      </c>
      <c r="N200" s="2"/>
      <c r="O200" s="2"/>
      <c r="P200" s="4" t="s">
        <v>6</v>
      </c>
      <c r="Q200" s="2"/>
    </row>
    <row r="201" spans="1:17" s="109" customFormat="1" ht="30">
      <c r="A201" s="4">
        <v>2035290</v>
      </c>
      <c r="B201" s="5" t="s">
        <v>180</v>
      </c>
      <c r="C201" s="4" t="s">
        <v>286</v>
      </c>
      <c r="D201" s="4" t="s">
        <v>11</v>
      </c>
      <c r="E201" s="53">
        <v>2</v>
      </c>
      <c r="F201" s="11">
        <f>SUM(DistMeetingQuota[[#This Row],[Sep]:[Feb]])</f>
        <v>2</v>
      </c>
      <c r="G201" s="11">
        <f>DistMeetingQuota[[#This Row],[Quota]]-DistMeetingQuota[[#This Row],[Actual]]</f>
        <v>0</v>
      </c>
      <c r="H201" s="12">
        <f>DistMeetingQuota[[#This Row],[Actual]]/DistMeetingQuota[[#This Row],[Quota]]</f>
        <v>1</v>
      </c>
      <c r="I201" s="4"/>
      <c r="J201" s="2">
        <v>1</v>
      </c>
      <c r="K201" s="2">
        <v>1</v>
      </c>
      <c r="L201" s="2"/>
      <c r="M201" s="2"/>
      <c r="N201" s="2"/>
      <c r="O201" s="2"/>
      <c r="P201" s="4" t="s">
        <v>6</v>
      </c>
      <c r="Q201" s="2"/>
    </row>
    <row r="202" spans="1:17" s="109" customFormat="1">
      <c r="A202" s="4">
        <v>2036716</v>
      </c>
      <c r="B202" s="5" t="s">
        <v>181</v>
      </c>
      <c r="C202" s="4" t="s">
        <v>286</v>
      </c>
      <c r="D202" s="4" t="s">
        <v>11</v>
      </c>
      <c r="E202" s="53">
        <v>2</v>
      </c>
      <c r="F202" s="11">
        <f>SUM(DistMeetingQuota[[#This Row],[Sep]:[Feb]])</f>
        <v>0</v>
      </c>
      <c r="G202" s="11">
        <f>DistMeetingQuota[[#This Row],[Quota]]-DistMeetingQuota[[#This Row],[Actual]]</f>
        <v>2</v>
      </c>
      <c r="H202" s="12">
        <f>DistMeetingQuota[[#This Row],[Actual]]/DistMeetingQuota[[#This Row],[Quota]]</f>
        <v>0</v>
      </c>
      <c r="I202" s="4"/>
      <c r="J202" s="2"/>
      <c r="K202" s="2"/>
      <c r="L202" s="2"/>
      <c r="M202" s="2"/>
      <c r="N202" s="2"/>
      <c r="O202" s="2"/>
      <c r="P202" s="4" t="s">
        <v>10</v>
      </c>
      <c r="Q202" s="2"/>
    </row>
    <row r="203" spans="1:17" s="154" customFormat="1" ht="30">
      <c r="A203" s="147">
        <v>2121517</v>
      </c>
      <c r="B203" s="148" t="s">
        <v>1141</v>
      </c>
      <c r="C203" s="147" t="s">
        <v>21</v>
      </c>
      <c r="D203" s="149" t="s">
        <v>11</v>
      </c>
      <c r="E203" s="150">
        <v>3</v>
      </c>
      <c r="F203" s="157">
        <f>SUM(DistMeetingQuota[[#This Row],[Sep]:[Feb]])</f>
        <v>2</v>
      </c>
      <c r="G203" s="157">
        <f>DistMeetingQuota[[#This Row],[Quota]]-DistMeetingQuota[[#This Row],[Actual]]</f>
        <v>1</v>
      </c>
      <c r="H203" s="158">
        <f>DistMeetingQuota[[#This Row],[Actual]]/DistMeetingQuota[[#This Row],[Quota]]</f>
        <v>0.66666666666666663</v>
      </c>
      <c r="I203" s="147"/>
      <c r="J203" s="152"/>
      <c r="K203" s="152"/>
      <c r="L203" s="152"/>
      <c r="M203" s="152"/>
      <c r="N203" s="152">
        <v>2</v>
      </c>
      <c r="O203" s="152" t="s">
        <v>1143</v>
      </c>
      <c r="P203" s="246" t="s">
        <v>14</v>
      </c>
      <c r="Q203" s="152"/>
    </row>
    <row r="204" spans="1:17" s="109" customFormat="1" ht="30">
      <c r="A204" s="4">
        <v>2121517</v>
      </c>
      <c r="B204" s="138" t="s">
        <v>1141</v>
      </c>
      <c r="C204" s="4" t="s">
        <v>21</v>
      </c>
      <c r="D204" s="4" t="s">
        <v>13</v>
      </c>
      <c r="E204" s="53">
        <v>2</v>
      </c>
      <c r="F204" s="11">
        <f>SUM(DistMeetingQuota[[#This Row],[Sep]:[Feb]])</f>
        <v>1</v>
      </c>
      <c r="G204" s="11">
        <f>DistMeetingQuota[[#This Row],[Quota]]-DistMeetingQuota[[#This Row],[Actual]]</f>
        <v>1</v>
      </c>
      <c r="H204" s="12">
        <f>DistMeetingQuota[[#This Row],[Actual]]/DistMeetingQuota[[#This Row],[Quota]]</f>
        <v>0.5</v>
      </c>
      <c r="I204" s="4"/>
      <c r="J204" s="2"/>
      <c r="K204" s="2"/>
      <c r="L204" s="2">
        <v>1</v>
      </c>
      <c r="M204" s="2"/>
      <c r="N204" s="2"/>
      <c r="O204" s="2"/>
      <c r="P204" s="4" t="s">
        <v>14</v>
      </c>
      <c r="Q204" s="2"/>
    </row>
    <row r="205" spans="1:17" s="109" customFormat="1" ht="30">
      <c r="A205" s="4">
        <v>2048675</v>
      </c>
      <c r="B205" s="5" t="s">
        <v>182</v>
      </c>
      <c r="C205" s="4" t="s">
        <v>286</v>
      </c>
      <c r="D205" s="4" t="s">
        <v>11</v>
      </c>
      <c r="E205" s="53">
        <v>2</v>
      </c>
      <c r="F205" s="11">
        <f>SUM(DistMeetingQuota[[#This Row],[Sep]:[Feb]])</f>
        <v>0</v>
      </c>
      <c r="G205" s="11">
        <f>DistMeetingQuota[[#This Row],[Quota]]-DistMeetingQuota[[#This Row],[Actual]]</f>
        <v>2</v>
      </c>
      <c r="H205" s="12">
        <f>DistMeetingQuota[[#This Row],[Actual]]/DistMeetingQuota[[#This Row],[Quota]]</f>
        <v>0</v>
      </c>
      <c r="I205" s="4"/>
      <c r="J205" s="2"/>
      <c r="K205" s="2"/>
      <c r="L205" s="2"/>
      <c r="M205" s="2"/>
      <c r="N205" s="2"/>
      <c r="O205" s="2"/>
      <c r="P205" s="4" t="s">
        <v>14</v>
      </c>
      <c r="Q205" s="2"/>
    </row>
    <row r="206" spans="1:17" s="109" customFormat="1" ht="30">
      <c r="A206" s="4">
        <v>2077029</v>
      </c>
      <c r="B206" s="5" t="s">
        <v>183</v>
      </c>
      <c r="C206" s="4" t="s">
        <v>286</v>
      </c>
      <c r="D206" s="4" t="s">
        <v>11</v>
      </c>
      <c r="E206" s="53">
        <v>2</v>
      </c>
      <c r="F206" s="11">
        <f>SUM(DistMeetingQuota[[#This Row],[Sep]:[Feb]])</f>
        <v>0</v>
      </c>
      <c r="G206" s="11">
        <f>DistMeetingQuota[[#This Row],[Quota]]-DistMeetingQuota[[#This Row],[Actual]]</f>
        <v>2</v>
      </c>
      <c r="H206" s="12">
        <f>DistMeetingQuota[[#This Row],[Actual]]/DistMeetingQuota[[#This Row],[Quota]]</f>
        <v>0</v>
      </c>
      <c r="I206" s="4"/>
      <c r="J206" s="2"/>
      <c r="K206" s="2"/>
      <c r="L206" s="2"/>
      <c r="M206" s="2"/>
      <c r="N206" s="2"/>
      <c r="O206" s="2"/>
      <c r="P206" s="4" t="s">
        <v>14</v>
      </c>
      <c r="Q206" s="2"/>
    </row>
    <row r="207" spans="1:17" s="109" customFormat="1" ht="30">
      <c r="A207" s="4">
        <v>2113196</v>
      </c>
      <c r="B207" s="5" t="s">
        <v>184</v>
      </c>
      <c r="C207" s="4" t="s">
        <v>286</v>
      </c>
      <c r="D207" s="4" t="s">
        <v>11</v>
      </c>
      <c r="E207" s="53">
        <v>2</v>
      </c>
      <c r="F207" s="11">
        <f>SUM(DistMeetingQuota[[#This Row],[Sep]:[Feb]])</f>
        <v>0</v>
      </c>
      <c r="G207" s="11">
        <f>DistMeetingQuota[[#This Row],[Quota]]-DistMeetingQuota[[#This Row],[Actual]]</f>
        <v>2</v>
      </c>
      <c r="H207" s="12">
        <f>DistMeetingQuota[[#This Row],[Actual]]/DistMeetingQuota[[#This Row],[Quota]]</f>
        <v>0</v>
      </c>
      <c r="I207" s="4"/>
      <c r="J207" s="2"/>
      <c r="K207" s="2"/>
      <c r="L207" s="2"/>
      <c r="M207" s="2"/>
      <c r="N207" s="2"/>
      <c r="O207" s="2"/>
      <c r="P207" s="4" t="s">
        <v>14</v>
      </c>
      <c r="Q207" s="2"/>
    </row>
    <row r="208" spans="1:17" s="109" customFormat="1" ht="30">
      <c r="A208" s="4">
        <v>2030249</v>
      </c>
      <c r="B208" s="5" t="s">
        <v>185</v>
      </c>
      <c r="C208" s="4" t="s">
        <v>286</v>
      </c>
      <c r="D208" s="4" t="s">
        <v>11</v>
      </c>
      <c r="E208" s="53">
        <v>2</v>
      </c>
      <c r="F208" s="11">
        <f>SUM(DistMeetingQuota[[#This Row],[Sep]:[Feb]])</f>
        <v>0</v>
      </c>
      <c r="G208" s="11">
        <f>DistMeetingQuota[[#This Row],[Quota]]-DistMeetingQuota[[#This Row],[Actual]]</f>
        <v>2</v>
      </c>
      <c r="H208" s="12">
        <f>DistMeetingQuota[[#This Row],[Actual]]/DistMeetingQuota[[#This Row],[Quota]]</f>
        <v>0</v>
      </c>
      <c r="I208" s="4"/>
      <c r="J208" s="2"/>
      <c r="K208" s="2"/>
      <c r="L208" s="2"/>
      <c r="M208" s="2"/>
      <c r="N208" s="2"/>
      <c r="O208" s="2"/>
      <c r="P208" s="4" t="s">
        <v>10</v>
      </c>
      <c r="Q208" s="2"/>
    </row>
    <row r="209" spans="1:17" s="109" customFormat="1" ht="30">
      <c r="A209" s="4">
        <v>2041352</v>
      </c>
      <c r="B209" s="5" t="s">
        <v>186</v>
      </c>
      <c r="C209" s="4" t="s">
        <v>21</v>
      </c>
      <c r="D209" s="4" t="s">
        <v>11</v>
      </c>
      <c r="E209" s="53">
        <v>3</v>
      </c>
      <c r="F209" s="11">
        <f>SUM(DistMeetingQuota[[#This Row],[Sep]:[Feb]])</f>
        <v>3</v>
      </c>
      <c r="G209" s="11">
        <f>DistMeetingQuota[[#This Row],[Quota]]-DistMeetingQuota[[#This Row],[Actual]]</f>
        <v>0</v>
      </c>
      <c r="H209" s="12">
        <f>DistMeetingQuota[[#This Row],[Actual]]/DistMeetingQuota[[#This Row],[Quota]]</f>
        <v>1</v>
      </c>
      <c r="I209" s="4"/>
      <c r="J209" s="2"/>
      <c r="K209" s="2">
        <v>2</v>
      </c>
      <c r="L209" s="2">
        <v>1</v>
      </c>
      <c r="M209" s="2"/>
      <c r="N209" s="2"/>
      <c r="O209" s="2"/>
      <c r="P209" s="4" t="s">
        <v>14</v>
      </c>
      <c r="Q209" s="2"/>
    </row>
    <row r="210" spans="1:17" s="109" customFormat="1" ht="30">
      <c r="A210" s="4">
        <v>2041352</v>
      </c>
      <c r="B210" s="5" t="s">
        <v>186</v>
      </c>
      <c r="C210" s="4" t="s">
        <v>21</v>
      </c>
      <c r="D210" s="4" t="s">
        <v>13</v>
      </c>
      <c r="E210" s="53">
        <v>2</v>
      </c>
      <c r="F210" s="11">
        <f>SUM(DistMeetingQuota[[#This Row],[Sep]:[Feb]])</f>
        <v>1</v>
      </c>
      <c r="G210" s="11">
        <f>DistMeetingQuota[[#This Row],[Quota]]-DistMeetingQuota[[#This Row],[Actual]]</f>
        <v>1</v>
      </c>
      <c r="H210" s="12">
        <f>DistMeetingQuota[[#This Row],[Actual]]/DistMeetingQuota[[#This Row],[Quota]]</f>
        <v>0.5</v>
      </c>
      <c r="I210" s="4"/>
      <c r="J210" s="2"/>
      <c r="K210" s="2"/>
      <c r="L210" s="2">
        <v>1</v>
      </c>
      <c r="M210" s="2"/>
      <c r="N210" s="2"/>
      <c r="O210" s="2"/>
      <c r="P210" s="4" t="s">
        <v>14</v>
      </c>
      <c r="Q210" s="2"/>
    </row>
    <row r="211" spans="1:17" s="109" customFormat="1" ht="30">
      <c r="A211" s="4">
        <v>2087098</v>
      </c>
      <c r="B211" s="5" t="s">
        <v>187</v>
      </c>
      <c r="C211" s="4" t="s">
        <v>286</v>
      </c>
      <c r="D211" s="4" t="s">
        <v>11</v>
      </c>
      <c r="E211" s="53">
        <v>2</v>
      </c>
      <c r="F211" s="11">
        <f>SUM(DistMeetingQuota[[#This Row],[Sep]:[Feb]])</f>
        <v>0</v>
      </c>
      <c r="G211" s="11">
        <f>DistMeetingQuota[[#This Row],[Quota]]-DistMeetingQuota[[#This Row],[Actual]]</f>
        <v>2</v>
      </c>
      <c r="H211" s="12">
        <f>DistMeetingQuota[[#This Row],[Actual]]/DistMeetingQuota[[#This Row],[Quota]]</f>
        <v>0</v>
      </c>
      <c r="I211" s="4"/>
      <c r="J211" s="2"/>
      <c r="K211" s="2"/>
      <c r="L211" s="2"/>
      <c r="M211" s="2"/>
      <c r="N211" s="2"/>
      <c r="O211" s="2"/>
      <c r="P211" s="4" t="s">
        <v>14</v>
      </c>
      <c r="Q211" s="2"/>
    </row>
    <row r="212" spans="1:17" s="109" customFormat="1" ht="30">
      <c r="A212" s="4">
        <v>2053663</v>
      </c>
      <c r="B212" s="5" t="s">
        <v>188</v>
      </c>
      <c r="C212" s="4" t="s">
        <v>286</v>
      </c>
      <c r="D212" s="4" t="s">
        <v>11</v>
      </c>
      <c r="E212" s="53">
        <v>2</v>
      </c>
      <c r="F212" s="11">
        <f>SUM(DistMeetingQuota[[#This Row],[Sep]:[Feb]])</f>
        <v>2</v>
      </c>
      <c r="G212" s="11">
        <f>DistMeetingQuota[[#This Row],[Quota]]-DistMeetingQuota[[#This Row],[Actual]]</f>
        <v>0</v>
      </c>
      <c r="H212" s="12">
        <f>DistMeetingQuota[[#This Row],[Actual]]/DistMeetingQuota[[#This Row],[Quota]]</f>
        <v>1</v>
      </c>
      <c r="I212" s="4"/>
      <c r="J212" s="2"/>
      <c r="K212" s="2">
        <v>2</v>
      </c>
      <c r="L212" s="2"/>
      <c r="M212" s="2"/>
      <c r="N212" s="2"/>
      <c r="O212" s="2"/>
      <c r="P212" s="4" t="s">
        <v>10</v>
      </c>
      <c r="Q212" s="2"/>
    </row>
    <row r="213" spans="1:17" s="109" customFormat="1" ht="30">
      <c r="A213" s="4">
        <v>2010186</v>
      </c>
      <c r="B213" s="5" t="s">
        <v>189</v>
      </c>
      <c r="C213" s="4" t="s">
        <v>286</v>
      </c>
      <c r="D213" s="4" t="s">
        <v>11</v>
      </c>
      <c r="E213" s="53">
        <v>2</v>
      </c>
      <c r="F213" s="11">
        <f>SUM(DistMeetingQuota[[#This Row],[Sep]:[Feb]])</f>
        <v>0</v>
      </c>
      <c r="G213" s="11">
        <f>DistMeetingQuota[[#This Row],[Quota]]-DistMeetingQuota[[#This Row],[Actual]]</f>
        <v>2</v>
      </c>
      <c r="H213" s="12">
        <f>DistMeetingQuota[[#This Row],[Actual]]/DistMeetingQuota[[#This Row],[Quota]]</f>
        <v>0</v>
      </c>
      <c r="I213" s="4"/>
      <c r="J213" s="2"/>
      <c r="K213" s="2"/>
      <c r="L213" s="2"/>
      <c r="M213" s="2"/>
      <c r="N213" s="2"/>
      <c r="O213" s="6"/>
      <c r="P213" s="4" t="s">
        <v>14</v>
      </c>
      <c r="Q213" s="2"/>
    </row>
    <row r="214" spans="1:17" s="109" customFormat="1">
      <c r="A214" s="4">
        <v>2052055</v>
      </c>
      <c r="B214" s="5" t="s">
        <v>190</v>
      </c>
      <c r="C214" s="4" t="s">
        <v>286</v>
      </c>
      <c r="D214" s="4" t="s">
        <v>11</v>
      </c>
      <c r="E214" s="53">
        <v>2</v>
      </c>
      <c r="F214" s="11">
        <f>SUM(DistMeetingQuota[[#This Row],[Sep]:[Feb]])</f>
        <v>0</v>
      </c>
      <c r="G214" s="11">
        <f>DistMeetingQuota[[#This Row],[Quota]]-DistMeetingQuota[[#This Row],[Actual]]</f>
        <v>2</v>
      </c>
      <c r="H214" s="49">
        <f>DistMeetingQuota[[#This Row],[Actual]]/DistMeetingQuota[[#This Row],[Quota]]</f>
        <v>0</v>
      </c>
      <c r="I214" s="4"/>
      <c r="J214" s="2"/>
      <c r="K214" s="2"/>
      <c r="L214" s="2"/>
      <c r="M214" s="2"/>
      <c r="N214" s="2"/>
      <c r="O214" s="2"/>
      <c r="P214" s="4" t="s">
        <v>10</v>
      </c>
      <c r="Q214" s="2"/>
    </row>
    <row r="215" spans="1:17" s="109" customFormat="1" ht="30">
      <c r="A215" s="4">
        <v>2024127</v>
      </c>
      <c r="B215" s="5" t="s">
        <v>191</v>
      </c>
      <c r="C215" s="4" t="s">
        <v>21</v>
      </c>
      <c r="D215" s="4" t="s">
        <v>13</v>
      </c>
      <c r="E215" s="53">
        <v>2</v>
      </c>
      <c r="F215" s="11">
        <f>SUM(DistMeetingQuota[[#This Row],[Sep]:[Feb]])</f>
        <v>2</v>
      </c>
      <c r="G215" s="11">
        <f>DistMeetingQuota[[#This Row],[Quota]]-DistMeetingQuota[[#This Row],[Actual]]</f>
        <v>0</v>
      </c>
      <c r="H215" s="49">
        <f>DistMeetingQuota[[#This Row],[Actual]]/DistMeetingQuota[[#This Row],[Quota]]</f>
        <v>1</v>
      </c>
      <c r="I215" s="4"/>
      <c r="J215" s="2">
        <v>2</v>
      </c>
      <c r="K215" s="2"/>
      <c r="L215" s="2"/>
      <c r="M215" s="2"/>
      <c r="N215" s="2"/>
      <c r="O215" s="2"/>
      <c r="P215" s="4" t="s">
        <v>14</v>
      </c>
      <c r="Q215" s="2"/>
    </row>
    <row r="216" spans="1:17" s="109" customFormat="1" ht="30">
      <c r="A216" s="4">
        <v>2024127</v>
      </c>
      <c r="B216" s="5" t="s">
        <v>191</v>
      </c>
      <c r="C216" s="4" t="s">
        <v>21</v>
      </c>
      <c r="D216" s="4" t="s">
        <v>11</v>
      </c>
      <c r="E216" s="53">
        <v>3</v>
      </c>
      <c r="F216" s="11">
        <f>SUM(DistMeetingQuota[[#This Row],[Sep]:[Feb]])</f>
        <v>0</v>
      </c>
      <c r="G216" s="11">
        <f>DistMeetingQuota[[#This Row],[Quota]]-DistMeetingQuota[[#This Row],[Actual]]</f>
        <v>3</v>
      </c>
      <c r="H216" s="49">
        <f>DistMeetingQuota[[#This Row],[Actual]]/DistMeetingQuota[[#This Row],[Quota]]</f>
        <v>0</v>
      </c>
      <c r="I216" s="4"/>
      <c r="J216" s="2"/>
      <c r="K216" s="2"/>
      <c r="L216" s="2"/>
      <c r="M216" s="2"/>
      <c r="N216" s="2"/>
      <c r="O216" s="2"/>
      <c r="P216" s="4" t="s">
        <v>14</v>
      </c>
      <c r="Q216" s="2"/>
    </row>
    <row r="217" spans="1:17" s="109" customFormat="1">
      <c r="A217" s="4">
        <v>2091595</v>
      </c>
      <c r="B217" s="5" t="s">
        <v>192</v>
      </c>
      <c r="C217" s="4" t="s">
        <v>286</v>
      </c>
      <c r="D217" s="4" t="s">
        <v>11</v>
      </c>
      <c r="E217" s="53">
        <v>2</v>
      </c>
      <c r="F217" s="11">
        <f>SUM(DistMeetingQuota[[#This Row],[Sep]:[Feb]])</f>
        <v>0</v>
      </c>
      <c r="G217" s="11">
        <f>DistMeetingQuota[[#This Row],[Quota]]-DistMeetingQuota[[#This Row],[Actual]]</f>
        <v>2</v>
      </c>
      <c r="H217" s="49">
        <f>DistMeetingQuota[[#This Row],[Actual]]/DistMeetingQuota[[#This Row],[Quota]]</f>
        <v>0</v>
      </c>
      <c r="I217" s="4"/>
      <c r="J217" s="2"/>
      <c r="K217" s="2"/>
      <c r="L217" s="2"/>
      <c r="M217" s="2"/>
      <c r="N217" s="2"/>
      <c r="O217" s="2"/>
      <c r="P217" s="4" t="s">
        <v>14</v>
      </c>
      <c r="Q217" s="2"/>
    </row>
    <row r="218" spans="1:17" s="109" customFormat="1">
      <c r="A218" s="4">
        <v>2097649</v>
      </c>
      <c r="B218" s="5" t="s">
        <v>193</v>
      </c>
      <c r="C218" s="4" t="s">
        <v>33</v>
      </c>
      <c r="D218" s="4" t="s">
        <v>11</v>
      </c>
      <c r="E218" s="53">
        <v>2</v>
      </c>
      <c r="F218" s="11">
        <f>SUM(DistMeetingQuota[[#This Row],[Sep]:[Feb]])</f>
        <v>0</v>
      </c>
      <c r="G218" s="11">
        <f>DistMeetingQuota[[#This Row],[Quota]]-DistMeetingQuota[[#This Row],[Actual]]</f>
        <v>2</v>
      </c>
      <c r="H218" s="49">
        <f>DistMeetingQuota[[#This Row],[Actual]]/DistMeetingQuota[[#This Row],[Quota]]</f>
        <v>0</v>
      </c>
      <c r="I218" s="4"/>
      <c r="J218" s="2"/>
      <c r="K218" s="2"/>
      <c r="L218" s="2"/>
      <c r="M218" s="2"/>
      <c r="N218" s="2"/>
      <c r="O218" s="2"/>
      <c r="P218" s="4" t="s">
        <v>14</v>
      </c>
      <c r="Q218" s="2"/>
    </row>
    <row r="219" spans="1:17" s="109" customFormat="1" ht="30">
      <c r="A219" s="4">
        <v>2080448</v>
      </c>
      <c r="B219" s="5" t="s">
        <v>194</v>
      </c>
      <c r="C219" s="4" t="s">
        <v>286</v>
      </c>
      <c r="D219" s="4" t="s">
        <v>11</v>
      </c>
      <c r="E219" s="53">
        <v>2</v>
      </c>
      <c r="F219" s="11">
        <f>SUM(DistMeetingQuota[[#This Row],[Sep]:[Feb]])</f>
        <v>1</v>
      </c>
      <c r="G219" s="11">
        <f>DistMeetingQuota[[#This Row],[Quota]]-DistMeetingQuota[[#This Row],[Actual]]</f>
        <v>1</v>
      </c>
      <c r="H219" s="49">
        <f>DistMeetingQuota[[#This Row],[Actual]]/DistMeetingQuota[[#This Row],[Quota]]</f>
        <v>0.5</v>
      </c>
      <c r="I219" s="4"/>
      <c r="J219" s="2"/>
      <c r="K219" s="2"/>
      <c r="L219" s="2">
        <v>1</v>
      </c>
      <c r="M219" s="2"/>
      <c r="N219" s="2"/>
      <c r="O219" s="2"/>
      <c r="P219" s="4" t="s">
        <v>55</v>
      </c>
      <c r="Q219" s="2"/>
    </row>
    <row r="220" spans="1:17" s="109" customFormat="1" ht="30">
      <c r="A220" s="4">
        <v>2080448</v>
      </c>
      <c r="B220" s="5" t="s">
        <v>194</v>
      </c>
      <c r="C220" s="4" t="s">
        <v>286</v>
      </c>
      <c r="D220" s="4" t="s">
        <v>5</v>
      </c>
      <c r="E220" s="53">
        <v>24</v>
      </c>
      <c r="F220" s="11">
        <f>SUM(DistMeetingQuota[[#This Row],[Sep]:[Feb]])</f>
        <v>0</v>
      </c>
      <c r="G220" s="11">
        <f>DistMeetingQuota[[#This Row],[Quota]]-DistMeetingQuota[[#This Row],[Actual]]</f>
        <v>24</v>
      </c>
      <c r="H220" s="49">
        <f>DistMeetingQuota[[#This Row],[Actual]]/DistMeetingQuota[[#This Row],[Quota]]</f>
        <v>0</v>
      </c>
      <c r="I220" s="4"/>
      <c r="J220" s="2"/>
      <c r="K220" s="2"/>
      <c r="L220" s="2"/>
      <c r="M220" s="2"/>
      <c r="N220" s="2"/>
      <c r="O220" s="2"/>
      <c r="P220" s="4" t="s">
        <v>55</v>
      </c>
      <c r="Q220" s="2"/>
    </row>
    <row r="221" spans="1:17" s="109" customFormat="1">
      <c r="A221" s="4">
        <v>2116111</v>
      </c>
      <c r="B221" s="5" t="s">
        <v>195</v>
      </c>
      <c r="C221" s="4" t="s">
        <v>286</v>
      </c>
      <c r="D221" s="4" t="s">
        <v>11</v>
      </c>
      <c r="E221" s="53">
        <v>2</v>
      </c>
      <c r="F221" s="11">
        <f>SUM(DistMeetingQuota[[#This Row],[Sep]:[Feb]])</f>
        <v>0</v>
      </c>
      <c r="G221" s="11">
        <f>DistMeetingQuota[[#This Row],[Quota]]-DistMeetingQuota[[#This Row],[Actual]]</f>
        <v>2</v>
      </c>
      <c r="H221" s="49">
        <f>DistMeetingQuota[[#This Row],[Actual]]/DistMeetingQuota[[#This Row],[Quota]]</f>
        <v>0</v>
      </c>
      <c r="I221" s="4"/>
      <c r="J221" s="2"/>
      <c r="K221" s="2"/>
      <c r="L221" s="2"/>
      <c r="M221" s="2"/>
      <c r="N221" s="2"/>
      <c r="O221" s="2"/>
      <c r="P221" s="4" t="s">
        <v>14</v>
      </c>
      <c r="Q221" s="2"/>
    </row>
    <row r="222" spans="1:17" s="109" customFormat="1" ht="30">
      <c r="A222" s="4">
        <v>2125700</v>
      </c>
      <c r="B222" s="5" t="s">
        <v>196</v>
      </c>
      <c r="C222" s="4" t="s">
        <v>286</v>
      </c>
      <c r="D222" s="4" t="s">
        <v>5</v>
      </c>
      <c r="E222" s="53">
        <v>24</v>
      </c>
      <c r="F222" s="11">
        <f>SUM(DistMeetingQuota[[#This Row],[Sep]:[Feb]])</f>
        <v>8</v>
      </c>
      <c r="G222" s="11">
        <f>DistMeetingQuota[[#This Row],[Quota]]-DistMeetingQuota[[#This Row],[Actual]]</f>
        <v>16</v>
      </c>
      <c r="H222" s="49">
        <f>DistMeetingQuota[[#This Row],[Actual]]/DistMeetingQuota[[#This Row],[Quota]]</f>
        <v>0.33333333333333331</v>
      </c>
      <c r="I222" s="4"/>
      <c r="J222" s="2">
        <v>2</v>
      </c>
      <c r="K222" s="2">
        <v>2</v>
      </c>
      <c r="L222" s="2">
        <v>2</v>
      </c>
      <c r="M222" s="2">
        <v>2</v>
      </c>
      <c r="N222" s="2"/>
      <c r="O222" s="2"/>
      <c r="P222" s="4" t="s">
        <v>470</v>
      </c>
      <c r="Q222" s="2"/>
    </row>
    <row r="223" spans="1:17" s="109" customFormat="1" ht="30">
      <c r="A223" s="4">
        <v>2125700</v>
      </c>
      <c r="B223" s="5" t="s">
        <v>196</v>
      </c>
      <c r="C223" s="4" t="s">
        <v>286</v>
      </c>
      <c r="D223" s="4" t="s">
        <v>11</v>
      </c>
      <c r="E223" s="53">
        <v>2</v>
      </c>
      <c r="F223" s="11">
        <f>SUM(DistMeetingQuota[[#This Row],[Sep]:[Feb]])</f>
        <v>0</v>
      </c>
      <c r="G223" s="11">
        <f>DistMeetingQuota[[#This Row],[Quota]]-DistMeetingQuota[[#This Row],[Actual]]</f>
        <v>2</v>
      </c>
      <c r="H223" s="49">
        <f>DistMeetingQuota[[#This Row],[Actual]]/DistMeetingQuota[[#This Row],[Quota]]</f>
        <v>0</v>
      </c>
      <c r="I223" s="4"/>
      <c r="J223" s="2"/>
      <c r="K223" s="2"/>
      <c r="L223" s="2"/>
      <c r="M223" s="2"/>
      <c r="N223" s="2"/>
      <c r="O223" s="2"/>
      <c r="P223" s="4" t="s">
        <v>470</v>
      </c>
      <c r="Q223" s="2"/>
    </row>
    <row r="224" spans="1:17" s="109" customFormat="1">
      <c r="A224" s="4">
        <v>2119625</v>
      </c>
      <c r="B224" s="5" t="s">
        <v>197</v>
      </c>
      <c r="C224" s="4" t="s">
        <v>286</v>
      </c>
      <c r="D224" s="4" t="s">
        <v>11</v>
      </c>
      <c r="E224" s="53">
        <v>2</v>
      </c>
      <c r="F224" s="11">
        <f>SUM(DistMeetingQuota[[#This Row],[Sep]:[Feb]])</f>
        <v>2</v>
      </c>
      <c r="G224" s="11">
        <f>DistMeetingQuota[[#This Row],[Quota]]-DistMeetingQuota[[#This Row],[Actual]]</f>
        <v>0</v>
      </c>
      <c r="H224" s="49">
        <f>DistMeetingQuota[[#This Row],[Actual]]/DistMeetingQuota[[#This Row],[Quota]]</f>
        <v>1</v>
      </c>
      <c r="I224" s="4"/>
      <c r="J224" s="2"/>
      <c r="K224" s="2">
        <v>2</v>
      </c>
      <c r="L224" s="2"/>
      <c r="M224" s="2"/>
      <c r="N224" s="2"/>
      <c r="O224" s="2"/>
      <c r="P224" s="4" t="s">
        <v>14</v>
      </c>
      <c r="Q224" s="2"/>
    </row>
    <row r="225" spans="1:17" s="109" customFormat="1" ht="30">
      <c r="A225" s="4">
        <v>2132285</v>
      </c>
      <c r="B225" s="5" t="s">
        <v>198</v>
      </c>
      <c r="C225" s="4" t="s">
        <v>22</v>
      </c>
      <c r="D225" s="4" t="s">
        <v>13</v>
      </c>
      <c r="E225" s="53">
        <v>3</v>
      </c>
      <c r="F225" s="11">
        <f>SUM(DistMeetingQuota[[#This Row],[Sep]:[Feb]])</f>
        <v>0</v>
      </c>
      <c r="G225" s="11">
        <f>DistMeetingQuota[[#This Row],[Quota]]-DistMeetingQuota[[#This Row],[Actual]]</f>
        <v>3</v>
      </c>
      <c r="H225" s="49">
        <f>DistMeetingQuota[[#This Row],[Actual]]/DistMeetingQuota[[#This Row],[Quota]]</f>
        <v>0</v>
      </c>
      <c r="I225" s="4"/>
      <c r="J225" s="2"/>
      <c r="K225" s="2"/>
      <c r="L225" s="2"/>
      <c r="M225" s="2"/>
      <c r="N225" s="2"/>
      <c r="O225" s="2"/>
      <c r="P225" s="4" t="s">
        <v>14</v>
      </c>
      <c r="Q225" s="2"/>
    </row>
    <row r="226" spans="1:17" s="109" customFormat="1" ht="30">
      <c r="A226" s="4">
        <v>2132285</v>
      </c>
      <c r="B226" s="5" t="s">
        <v>198</v>
      </c>
      <c r="C226" s="4" t="s">
        <v>22</v>
      </c>
      <c r="D226" s="4" t="s">
        <v>487</v>
      </c>
      <c r="E226" s="53">
        <v>2</v>
      </c>
      <c r="F226" s="11">
        <f>SUM(DistMeetingQuota[[#This Row],[Sep]:[Feb]])</f>
        <v>2</v>
      </c>
      <c r="G226" s="11">
        <f>DistMeetingQuota[[#This Row],[Quota]]-DistMeetingQuota[[#This Row],[Actual]]</f>
        <v>0</v>
      </c>
      <c r="H226" s="49">
        <f>DistMeetingQuota[[#This Row],[Actual]]/DistMeetingQuota[[#This Row],[Quota]]</f>
        <v>1</v>
      </c>
      <c r="I226" s="4"/>
      <c r="J226" s="2">
        <v>1</v>
      </c>
      <c r="K226" s="2"/>
      <c r="L226" s="2">
        <v>1</v>
      </c>
      <c r="M226" s="2"/>
      <c r="N226" s="2"/>
      <c r="O226" s="2"/>
      <c r="P226" s="4" t="s">
        <v>14</v>
      </c>
      <c r="Q226" s="2"/>
    </row>
    <row r="227" spans="1:17" s="109" customFormat="1" ht="30">
      <c r="A227" s="4">
        <v>2064181</v>
      </c>
      <c r="B227" s="5" t="s">
        <v>199</v>
      </c>
      <c r="C227" s="4" t="s">
        <v>286</v>
      </c>
      <c r="D227" s="4" t="s">
        <v>5</v>
      </c>
      <c r="E227" s="53">
        <v>24</v>
      </c>
      <c r="F227" s="11">
        <f>SUM(DistMeetingQuota[[#This Row],[Sep]:[Feb]])</f>
        <v>18</v>
      </c>
      <c r="G227" s="11">
        <f>DistMeetingQuota[[#This Row],[Quota]]-DistMeetingQuota[[#This Row],[Actual]]</f>
        <v>6</v>
      </c>
      <c r="H227" s="49">
        <f>DistMeetingQuota[[#This Row],[Actual]]/DistMeetingQuota[[#This Row],[Quota]]</f>
        <v>0.75</v>
      </c>
      <c r="I227" s="4">
        <v>3</v>
      </c>
      <c r="J227" s="2">
        <v>2</v>
      </c>
      <c r="K227" s="2">
        <v>1</v>
      </c>
      <c r="L227" s="2">
        <v>2</v>
      </c>
      <c r="M227" s="2"/>
      <c r="N227" s="2">
        <v>10</v>
      </c>
      <c r="O227" s="2"/>
      <c r="P227" s="4" t="s">
        <v>10</v>
      </c>
      <c r="Q227" s="2"/>
    </row>
    <row r="228" spans="1:17" s="109" customFormat="1" ht="30">
      <c r="A228" s="4">
        <v>2064181</v>
      </c>
      <c r="B228" s="5" t="s">
        <v>199</v>
      </c>
      <c r="C228" s="4" t="s">
        <v>286</v>
      </c>
      <c r="D228" s="4" t="s">
        <v>11</v>
      </c>
      <c r="E228" s="53">
        <v>2</v>
      </c>
      <c r="F228" s="11">
        <f>SUM(DistMeetingQuota[[#This Row],[Sep]:[Feb]])</f>
        <v>2</v>
      </c>
      <c r="G228" s="11">
        <f>DistMeetingQuota[[#This Row],[Quota]]-DistMeetingQuota[[#This Row],[Actual]]</f>
        <v>0</v>
      </c>
      <c r="H228" s="49">
        <f>DistMeetingQuota[[#This Row],[Actual]]/DistMeetingQuota[[#This Row],[Quota]]</f>
        <v>1</v>
      </c>
      <c r="I228" s="4">
        <v>2</v>
      </c>
      <c r="J228" s="2"/>
      <c r="K228" s="2"/>
      <c r="L228" s="2"/>
      <c r="M228" s="2"/>
      <c r="N228" s="2"/>
      <c r="O228" s="2"/>
      <c r="P228" s="4" t="s">
        <v>10</v>
      </c>
      <c r="Q228" s="2"/>
    </row>
    <row r="229" spans="1:17" s="109" customFormat="1" ht="30">
      <c r="A229" s="4">
        <v>2110468</v>
      </c>
      <c r="B229" s="5" t="s">
        <v>597</v>
      </c>
      <c r="C229" s="4" t="s">
        <v>286</v>
      </c>
      <c r="D229" s="4" t="s">
        <v>11</v>
      </c>
      <c r="E229" s="53">
        <v>2</v>
      </c>
      <c r="F229" s="11">
        <f>SUM(DistMeetingQuota[[#This Row],[Sep]:[Feb]])</f>
        <v>0</v>
      </c>
      <c r="G229" s="11">
        <f>DistMeetingQuota[[#This Row],[Quota]]-DistMeetingQuota[[#This Row],[Actual]]</f>
        <v>2</v>
      </c>
      <c r="H229" s="49">
        <f>DistMeetingQuota[[#This Row],[Actual]]/DistMeetingQuota[[#This Row],[Quota]]</f>
        <v>0</v>
      </c>
      <c r="I229" s="4"/>
      <c r="J229" s="2"/>
      <c r="K229" s="2"/>
      <c r="L229" s="2"/>
      <c r="M229" s="2"/>
      <c r="N229" s="2"/>
      <c r="O229" s="2"/>
      <c r="P229" s="4" t="s">
        <v>55</v>
      </c>
      <c r="Q229" s="2"/>
    </row>
    <row r="230" spans="1:17" s="109" customFormat="1" ht="30">
      <c r="A230" s="4">
        <v>2110468</v>
      </c>
      <c r="B230" s="5" t="s">
        <v>597</v>
      </c>
      <c r="C230" s="4" t="s">
        <v>286</v>
      </c>
      <c r="D230" s="4" t="s">
        <v>5</v>
      </c>
      <c r="E230" s="53">
        <v>24</v>
      </c>
      <c r="F230" s="11">
        <f>SUM(DistMeetingQuota[[#This Row],[Sep]:[Feb]])</f>
        <v>0</v>
      </c>
      <c r="G230" s="11">
        <f>DistMeetingQuota[[#This Row],[Quota]]-DistMeetingQuota[[#This Row],[Actual]]</f>
        <v>24</v>
      </c>
      <c r="H230" s="49">
        <f>DistMeetingQuota[[#This Row],[Actual]]/DistMeetingQuota[[#This Row],[Quota]]</f>
        <v>0</v>
      </c>
      <c r="I230" s="4"/>
      <c r="J230" s="2"/>
      <c r="K230" s="2"/>
      <c r="L230" s="2"/>
      <c r="M230" s="2"/>
      <c r="N230" s="2"/>
      <c r="O230" s="2"/>
      <c r="P230" s="4" t="s">
        <v>55</v>
      </c>
      <c r="Q230" s="2"/>
    </row>
    <row r="231" spans="1:17" s="109" customFormat="1" ht="30">
      <c r="A231" s="4">
        <v>2098143</v>
      </c>
      <c r="B231" s="5" t="s">
        <v>338</v>
      </c>
      <c r="C231" s="4" t="s">
        <v>286</v>
      </c>
      <c r="D231" s="4" t="s">
        <v>11</v>
      </c>
      <c r="E231" s="53">
        <v>2</v>
      </c>
      <c r="F231" s="11">
        <f>SUM(DistMeetingQuota[[#This Row],[Sep]:[Feb]])</f>
        <v>0</v>
      </c>
      <c r="G231" s="11">
        <f>DistMeetingQuota[[#This Row],[Quota]]-DistMeetingQuota[[#This Row],[Actual]]</f>
        <v>2</v>
      </c>
      <c r="H231" s="49">
        <f>DistMeetingQuota[[#This Row],[Actual]]/DistMeetingQuota[[#This Row],[Quota]]</f>
        <v>0</v>
      </c>
      <c r="I231" s="4"/>
      <c r="J231" s="2"/>
      <c r="K231" s="2"/>
      <c r="L231" s="2"/>
      <c r="M231" s="2"/>
      <c r="N231" s="2"/>
      <c r="O231" s="2"/>
      <c r="P231" s="140" t="s">
        <v>698</v>
      </c>
      <c r="Q231" s="2"/>
    </row>
    <row r="232" spans="1:17" s="109" customFormat="1">
      <c r="A232" s="4">
        <v>2029152</v>
      </c>
      <c r="B232" s="5" t="s">
        <v>200</v>
      </c>
      <c r="C232" s="4" t="s">
        <v>286</v>
      </c>
      <c r="D232" s="4" t="s">
        <v>11</v>
      </c>
      <c r="E232" s="53">
        <v>2</v>
      </c>
      <c r="F232" s="11">
        <f>SUM(DistMeetingQuota[[#This Row],[Sep]:[Feb]])</f>
        <v>0</v>
      </c>
      <c r="G232" s="11">
        <f>DistMeetingQuota[[#This Row],[Quota]]-DistMeetingQuota[[#This Row],[Actual]]</f>
        <v>2</v>
      </c>
      <c r="H232" s="49">
        <f>DistMeetingQuota[[#This Row],[Actual]]/DistMeetingQuota[[#This Row],[Quota]]</f>
        <v>0</v>
      </c>
      <c r="I232" s="4"/>
      <c r="J232" s="2"/>
      <c r="K232" s="2"/>
      <c r="L232" s="2"/>
      <c r="M232" s="2"/>
      <c r="N232" s="2"/>
      <c r="O232" s="2"/>
      <c r="P232" s="4" t="s">
        <v>55</v>
      </c>
      <c r="Q232" s="2"/>
    </row>
    <row r="233" spans="1:17" s="109" customFormat="1">
      <c r="A233" s="4">
        <v>2029152</v>
      </c>
      <c r="B233" s="5" t="s">
        <v>200</v>
      </c>
      <c r="C233" s="4" t="s">
        <v>286</v>
      </c>
      <c r="D233" s="4" t="s">
        <v>5</v>
      </c>
      <c r="E233" s="53">
        <v>24</v>
      </c>
      <c r="F233" s="11">
        <f>SUM(DistMeetingQuota[[#This Row],[Sep]:[Feb]])</f>
        <v>0</v>
      </c>
      <c r="G233" s="11">
        <f>DistMeetingQuota[[#This Row],[Quota]]-DistMeetingQuota[[#This Row],[Actual]]</f>
        <v>24</v>
      </c>
      <c r="H233" s="49">
        <f>DistMeetingQuota[[#This Row],[Actual]]/DistMeetingQuota[[#This Row],[Quota]]</f>
        <v>0</v>
      </c>
      <c r="I233" s="4"/>
      <c r="J233" s="2"/>
      <c r="K233" s="2"/>
      <c r="L233" s="2"/>
      <c r="M233" s="2"/>
      <c r="N233" s="2"/>
      <c r="O233" s="2"/>
      <c r="P233" s="4" t="s">
        <v>55</v>
      </c>
      <c r="Q233" s="2"/>
    </row>
    <row r="234" spans="1:17" s="109" customFormat="1">
      <c r="A234" s="4">
        <v>2057452</v>
      </c>
      <c r="B234" s="5" t="s">
        <v>201</v>
      </c>
      <c r="C234" s="4" t="s">
        <v>21</v>
      </c>
      <c r="D234" s="4" t="s">
        <v>13</v>
      </c>
      <c r="E234" s="53">
        <v>2</v>
      </c>
      <c r="F234" s="11">
        <f>SUM(DistMeetingQuota[[#This Row],[Sep]:[Feb]])</f>
        <v>2</v>
      </c>
      <c r="G234" s="11">
        <f>DistMeetingQuota[[#This Row],[Quota]]-DistMeetingQuota[[#This Row],[Actual]]</f>
        <v>0</v>
      </c>
      <c r="H234" s="49">
        <f>DistMeetingQuota[[#This Row],[Actual]]/DistMeetingQuota[[#This Row],[Quota]]</f>
        <v>1</v>
      </c>
      <c r="I234" s="4">
        <v>1</v>
      </c>
      <c r="J234" s="2"/>
      <c r="K234" s="2">
        <v>1</v>
      </c>
      <c r="L234" s="2"/>
      <c r="M234" s="2"/>
      <c r="N234" s="2"/>
      <c r="O234" s="2"/>
      <c r="P234" s="4" t="s">
        <v>14</v>
      </c>
      <c r="Q234" s="2"/>
    </row>
    <row r="235" spans="1:17" s="109" customFormat="1">
      <c r="A235" s="4">
        <v>2057452</v>
      </c>
      <c r="B235" s="5" t="s">
        <v>201</v>
      </c>
      <c r="C235" s="4" t="s">
        <v>21</v>
      </c>
      <c r="D235" s="4" t="s">
        <v>11</v>
      </c>
      <c r="E235" s="53">
        <v>3</v>
      </c>
      <c r="F235" s="11">
        <f>SUM(DistMeetingQuota[[#This Row],[Sep]:[Feb]])</f>
        <v>1</v>
      </c>
      <c r="G235" s="11">
        <f>DistMeetingQuota[[#This Row],[Quota]]-DistMeetingQuota[[#This Row],[Actual]]</f>
        <v>2</v>
      </c>
      <c r="H235" s="49">
        <f>DistMeetingQuota[[#This Row],[Actual]]/DistMeetingQuota[[#This Row],[Quota]]</f>
        <v>0.33333333333333331</v>
      </c>
      <c r="I235" s="4">
        <v>1</v>
      </c>
      <c r="J235" s="2"/>
      <c r="K235" s="2"/>
      <c r="L235" s="2"/>
      <c r="M235" s="2"/>
      <c r="N235" s="2"/>
      <c r="O235" s="2"/>
      <c r="P235" s="4" t="s">
        <v>14</v>
      </c>
      <c r="Q235" s="2"/>
    </row>
    <row r="236" spans="1:17" s="109" customFormat="1">
      <c r="A236" s="4">
        <v>2009201</v>
      </c>
      <c r="B236" s="5" t="s">
        <v>202</v>
      </c>
      <c r="C236" s="4" t="s">
        <v>286</v>
      </c>
      <c r="D236" s="4" t="s">
        <v>11</v>
      </c>
      <c r="E236" s="53">
        <v>2</v>
      </c>
      <c r="F236" s="11">
        <f>SUM(DistMeetingQuota[[#This Row],[Sep]:[Feb]])</f>
        <v>0</v>
      </c>
      <c r="G236" s="11">
        <f>DistMeetingQuota[[#This Row],[Quota]]-DistMeetingQuota[[#This Row],[Actual]]</f>
        <v>2</v>
      </c>
      <c r="H236" s="49">
        <f>DistMeetingQuota[[#This Row],[Actual]]/DistMeetingQuota[[#This Row],[Quota]]</f>
        <v>0</v>
      </c>
      <c r="I236" s="4"/>
      <c r="J236" s="2"/>
      <c r="K236" s="2"/>
      <c r="L236" s="2"/>
      <c r="M236" s="2"/>
      <c r="N236" s="2"/>
      <c r="O236" s="2"/>
      <c r="P236" s="4" t="s">
        <v>479</v>
      </c>
      <c r="Q236" s="2"/>
    </row>
    <row r="237" spans="1:17" s="109" customFormat="1" ht="30">
      <c r="A237" s="4">
        <v>2041313</v>
      </c>
      <c r="B237" s="5" t="s">
        <v>203</v>
      </c>
      <c r="C237" s="4" t="s">
        <v>21</v>
      </c>
      <c r="D237" s="4" t="s">
        <v>11</v>
      </c>
      <c r="E237" s="53">
        <v>3</v>
      </c>
      <c r="F237" s="11">
        <f>SUM(DistMeetingQuota[[#This Row],[Sep]:[Feb]])</f>
        <v>3</v>
      </c>
      <c r="G237" s="11">
        <f>DistMeetingQuota[[#This Row],[Quota]]-DistMeetingQuota[[#This Row],[Actual]]</f>
        <v>0</v>
      </c>
      <c r="H237" s="49">
        <f>DistMeetingQuota[[#This Row],[Actual]]/DistMeetingQuota[[#This Row],[Quota]]</f>
        <v>1</v>
      </c>
      <c r="I237" s="4"/>
      <c r="J237" s="2"/>
      <c r="K237" s="2">
        <v>2</v>
      </c>
      <c r="L237" s="2">
        <v>1</v>
      </c>
      <c r="M237" s="2"/>
      <c r="N237" s="2"/>
      <c r="O237" s="2"/>
      <c r="P237" s="4" t="s">
        <v>14</v>
      </c>
      <c r="Q237" s="2"/>
    </row>
    <row r="238" spans="1:17" s="109" customFormat="1" ht="30">
      <c r="A238" s="4">
        <v>2041313</v>
      </c>
      <c r="B238" s="5" t="s">
        <v>203</v>
      </c>
      <c r="C238" s="4" t="s">
        <v>21</v>
      </c>
      <c r="D238" s="4" t="s">
        <v>13</v>
      </c>
      <c r="E238" s="53">
        <v>2</v>
      </c>
      <c r="F238" s="11">
        <f>SUM(DistMeetingQuota[[#This Row],[Sep]:[Feb]])</f>
        <v>0</v>
      </c>
      <c r="G238" s="11">
        <f>DistMeetingQuota[[#This Row],[Quota]]-DistMeetingQuota[[#This Row],[Actual]]</f>
        <v>2</v>
      </c>
      <c r="H238" s="49">
        <f>DistMeetingQuota[[#This Row],[Actual]]/DistMeetingQuota[[#This Row],[Quota]]</f>
        <v>0</v>
      </c>
      <c r="I238" s="4"/>
      <c r="J238" s="2"/>
      <c r="K238" s="2"/>
      <c r="L238" s="2"/>
      <c r="M238" s="2"/>
      <c r="N238" s="2"/>
      <c r="O238" s="2"/>
      <c r="P238" s="4" t="s">
        <v>14</v>
      </c>
      <c r="Q238" s="2"/>
    </row>
    <row r="239" spans="1:17" s="109" customFormat="1">
      <c r="A239" s="4">
        <v>2010229</v>
      </c>
      <c r="B239" s="5" t="s">
        <v>204</v>
      </c>
      <c r="C239" s="4" t="s">
        <v>286</v>
      </c>
      <c r="D239" s="4" t="s">
        <v>11</v>
      </c>
      <c r="E239" s="53">
        <v>2</v>
      </c>
      <c r="F239" s="11">
        <f>SUM(DistMeetingQuota[[#This Row],[Sep]:[Feb]])</f>
        <v>0</v>
      </c>
      <c r="G239" s="11">
        <f>DistMeetingQuota[[#This Row],[Quota]]-DistMeetingQuota[[#This Row],[Actual]]</f>
        <v>2</v>
      </c>
      <c r="H239" s="49">
        <f>DistMeetingQuota[[#This Row],[Actual]]/DistMeetingQuota[[#This Row],[Quota]]</f>
        <v>0</v>
      </c>
      <c r="I239" s="4"/>
      <c r="J239" s="2"/>
      <c r="K239" s="2"/>
      <c r="L239" s="2"/>
      <c r="M239" s="2"/>
      <c r="N239" s="2"/>
      <c r="O239" s="2"/>
      <c r="P239" s="4" t="s">
        <v>10</v>
      </c>
      <c r="Q239" s="2"/>
    </row>
    <row r="240" spans="1:17" s="109" customFormat="1">
      <c r="A240" s="4">
        <v>2110103</v>
      </c>
      <c r="B240" s="5" t="s">
        <v>205</v>
      </c>
      <c r="C240" s="4" t="s">
        <v>286</v>
      </c>
      <c r="D240" s="4" t="s">
        <v>11</v>
      </c>
      <c r="E240" s="53">
        <v>2</v>
      </c>
      <c r="F240" s="11">
        <f>SUM(DistMeetingQuota[[#This Row],[Sep]:[Feb]])</f>
        <v>0</v>
      </c>
      <c r="G240" s="11">
        <f>DistMeetingQuota[[#This Row],[Quota]]-DistMeetingQuota[[#This Row],[Actual]]</f>
        <v>2</v>
      </c>
      <c r="H240" s="49">
        <f>DistMeetingQuota[[#This Row],[Actual]]/DistMeetingQuota[[#This Row],[Quota]]</f>
        <v>0</v>
      </c>
      <c r="I240" s="4"/>
      <c r="J240" s="2"/>
      <c r="K240" s="2"/>
      <c r="L240" s="2"/>
      <c r="M240" s="2"/>
      <c r="N240" s="2"/>
      <c r="O240" s="2"/>
      <c r="P240" s="4" t="s">
        <v>14</v>
      </c>
      <c r="Q240" s="2"/>
    </row>
    <row r="241" spans="1:17" s="109" customFormat="1" ht="30">
      <c r="A241" s="4">
        <v>2077575</v>
      </c>
      <c r="B241" s="5" t="s">
        <v>206</v>
      </c>
      <c r="C241" s="4" t="s">
        <v>286</v>
      </c>
      <c r="D241" s="4" t="s">
        <v>11</v>
      </c>
      <c r="E241" s="53">
        <v>2</v>
      </c>
      <c r="F241" s="11">
        <f>SUM(DistMeetingQuota[[#This Row],[Sep]:[Feb]])</f>
        <v>0</v>
      </c>
      <c r="G241" s="11">
        <f>DistMeetingQuota[[#This Row],[Quota]]-DistMeetingQuota[[#This Row],[Actual]]</f>
        <v>2</v>
      </c>
      <c r="H241" s="49">
        <f>DistMeetingQuota[[#This Row],[Actual]]/DistMeetingQuota[[#This Row],[Quota]]</f>
        <v>0</v>
      </c>
      <c r="I241" s="4"/>
      <c r="J241" s="2"/>
      <c r="K241" s="2"/>
      <c r="L241" s="2"/>
      <c r="M241" s="2"/>
      <c r="N241" s="2"/>
      <c r="O241" s="2"/>
      <c r="P241" s="4" t="s">
        <v>14</v>
      </c>
      <c r="Q241" s="2"/>
    </row>
    <row r="242" spans="1:17" s="109" customFormat="1" ht="30">
      <c r="A242" s="4">
        <v>2082768</v>
      </c>
      <c r="B242" s="5" t="s">
        <v>207</v>
      </c>
      <c r="C242" s="4" t="s">
        <v>286</v>
      </c>
      <c r="D242" s="4" t="s">
        <v>11</v>
      </c>
      <c r="E242" s="53">
        <v>2</v>
      </c>
      <c r="F242" s="11">
        <f>SUM(DistMeetingQuota[[#This Row],[Sep]:[Feb]])</f>
        <v>0</v>
      </c>
      <c r="G242" s="11">
        <f>DistMeetingQuota[[#This Row],[Quota]]-DistMeetingQuota[[#This Row],[Actual]]</f>
        <v>2</v>
      </c>
      <c r="H242" s="49">
        <f>DistMeetingQuota[[#This Row],[Actual]]/DistMeetingQuota[[#This Row],[Quota]]</f>
        <v>0</v>
      </c>
      <c r="I242" s="4"/>
      <c r="J242" s="2"/>
      <c r="K242" s="2"/>
      <c r="L242" s="2"/>
      <c r="M242" s="2"/>
      <c r="N242" s="2"/>
      <c r="O242" s="2"/>
      <c r="P242" s="4" t="s">
        <v>14</v>
      </c>
      <c r="Q242" s="2"/>
    </row>
    <row r="243" spans="1:17" s="109" customFormat="1" ht="30">
      <c r="A243" s="4">
        <v>2135241</v>
      </c>
      <c r="B243" s="5" t="s">
        <v>208</v>
      </c>
      <c r="C243" s="4" t="s">
        <v>286</v>
      </c>
      <c r="D243" s="4" t="s">
        <v>11</v>
      </c>
      <c r="E243" s="53">
        <v>2</v>
      </c>
      <c r="F243" s="11">
        <f>SUM(DistMeetingQuota[[#This Row],[Sep]:[Feb]])</f>
        <v>0</v>
      </c>
      <c r="G243" s="11">
        <f>DistMeetingQuota[[#This Row],[Quota]]-DistMeetingQuota[[#This Row],[Actual]]</f>
        <v>2</v>
      </c>
      <c r="H243" s="49">
        <f>DistMeetingQuota[[#This Row],[Actual]]/DistMeetingQuota[[#This Row],[Quota]]</f>
        <v>0</v>
      </c>
      <c r="I243" s="4"/>
      <c r="J243" s="2"/>
      <c r="K243" s="2"/>
      <c r="L243" s="2"/>
      <c r="M243" s="2"/>
      <c r="N243" s="2"/>
      <c r="O243" s="2"/>
      <c r="P243" s="4" t="s">
        <v>61</v>
      </c>
      <c r="Q243" s="2"/>
    </row>
    <row r="244" spans="1:17" s="109" customFormat="1" ht="30">
      <c r="A244" s="4">
        <v>2135241</v>
      </c>
      <c r="B244" s="5" t="s">
        <v>208</v>
      </c>
      <c r="C244" s="4" t="s">
        <v>286</v>
      </c>
      <c r="D244" s="4" t="s">
        <v>5</v>
      </c>
      <c r="E244" s="53">
        <v>24</v>
      </c>
      <c r="F244" s="11">
        <f>SUM(DistMeetingQuota[[#This Row],[Sep]:[Feb]])</f>
        <v>0</v>
      </c>
      <c r="G244" s="11">
        <f>DistMeetingQuota[[#This Row],[Quota]]-DistMeetingQuota[[#This Row],[Actual]]</f>
        <v>24</v>
      </c>
      <c r="H244" s="49">
        <f>DistMeetingQuota[[#This Row],[Actual]]/DistMeetingQuota[[#This Row],[Quota]]</f>
        <v>0</v>
      </c>
      <c r="I244" s="4"/>
      <c r="J244" s="2"/>
      <c r="K244" s="2"/>
      <c r="L244" s="2"/>
      <c r="M244" s="2"/>
      <c r="N244" s="2"/>
      <c r="O244" s="2"/>
      <c r="P244" s="4" t="s">
        <v>61</v>
      </c>
      <c r="Q244" s="2"/>
    </row>
    <row r="245" spans="1:17" s="109" customFormat="1" ht="30">
      <c r="A245" s="4">
        <v>2120496</v>
      </c>
      <c r="B245" s="5" t="s">
        <v>209</v>
      </c>
      <c r="C245" s="4" t="s">
        <v>286</v>
      </c>
      <c r="D245" s="4" t="s">
        <v>11</v>
      </c>
      <c r="E245" s="53">
        <v>2</v>
      </c>
      <c r="F245" s="11">
        <f>SUM(DistMeetingQuota[[#This Row],[Sep]:[Feb]])</f>
        <v>0</v>
      </c>
      <c r="G245" s="11">
        <f>DistMeetingQuota[[#This Row],[Quota]]-DistMeetingQuota[[#This Row],[Actual]]</f>
        <v>2</v>
      </c>
      <c r="H245" s="49">
        <f>DistMeetingQuota[[#This Row],[Actual]]/DistMeetingQuota[[#This Row],[Quota]]</f>
        <v>0</v>
      </c>
      <c r="I245" s="4"/>
      <c r="J245" s="2"/>
      <c r="K245" s="2"/>
      <c r="L245" s="2"/>
      <c r="M245" s="2"/>
      <c r="N245" s="2"/>
      <c r="O245" s="2"/>
      <c r="P245" s="4" t="s">
        <v>14</v>
      </c>
      <c r="Q245" s="2"/>
    </row>
    <row r="246" spans="1:17" s="109" customFormat="1">
      <c r="A246" s="4">
        <v>2085501</v>
      </c>
      <c r="B246" s="5" t="s">
        <v>210</v>
      </c>
      <c r="C246" s="4" t="s">
        <v>286</v>
      </c>
      <c r="D246" s="4" t="s">
        <v>11</v>
      </c>
      <c r="E246" s="53">
        <v>2</v>
      </c>
      <c r="F246" s="11">
        <f>SUM(DistMeetingQuota[[#This Row],[Sep]:[Feb]])</f>
        <v>0</v>
      </c>
      <c r="G246" s="11">
        <f>DistMeetingQuota[[#This Row],[Quota]]-DistMeetingQuota[[#This Row],[Actual]]</f>
        <v>2</v>
      </c>
      <c r="H246" s="49">
        <f>DistMeetingQuota[[#This Row],[Actual]]/DistMeetingQuota[[#This Row],[Quota]]</f>
        <v>0</v>
      </c>
      <c r="I246" s="4"/>
      <c r="J246" s="2"/>
      <c r="K246" s="2"/>
      <c r="L246" s="2"/>
      <c r="M246" s="2"/>
      <c r="N246" s="2"/>
      <c r="O246" s="2"/>
      <c r="P246" s="4" t="s">
        <v>14</v>
      </c>
      <c r="Q246" s="2"/>
    </row>
    <row r="247" spans="1:17" s="109" customFormat="1" ht="30">
      <c r="A247" s="4">
        <v>2024117</v>
      </c>
      <c r="B247" s="5" t="s">
        <v>211</v>
      </c>
      <c r="C247" s="4" t="s">
        <v>286</v>
      </c>
      <c r="D247" s="4" t="s">
        <v>11</v>
      </c>
      <c r="E247" s="53">
        <v>2</v>
      </c>
      <c r="F247" s="11">
        <f>SUM(DistMeetingQuota[[#This Row],[Sep]:[Feb]])</f>
        <v>0</v>
      </c>
      <c r="G247" s="11">
        <f>DistMeetingQuota[[#This Row],[Quota]]-DistMeetingQuota[[#This Row],[Actual]]</f>
        <v>2</v>
      </c>
      <c r="H247" s="49">
        <f>DistMeetingQuota[[#This Row],[Actual]]/DistMeetingQuota[[#This Row],[Quota]]</f>
        <v>0</v>
      </c>
      <c r="I247" s="4"/>
      <c r="J247" s="2"/>
      <c r="K247" s="2"/>
      <c r="L247" s="2"/>
      <c r="M247" s="2"/>
      <c r="N247" s="2"/>
      <c r="O247" s="2"/>
      <c r="P247" s="4" t="s">
        <v>10</v>
      </c>
      <c r="Q247" s="2"/>
    </row>
    <row r="248" spans="1:17" s="109" customFormat="1">
      <c r="A248" s="4">
        <v>2053198</v>
      </c>
      <c r="B248" s="5" t="s">
        <v>212</v>
      </c>
      <c r="C248" s="4" t="s">
        <v>286</v>
      </c>
      <c r="D248" s="4" t="s">
        <v>11</v>
      </c>
      <c r="E248" s="53">
        <v>2</v>
      </c>
      <c r="F248" s="11">
        <f>SUM(DistMeetingQuota[[#This Row],[Sep]:[Feb]])</f>
        <v>0</v>
      </c>
      <c r="G248" s="11">
        <f>DistMeetingQuota[[#This Row],[Quota]]-DistMeetingQuota[[#This Row],[Actual]]</f>
        <v>2</v>
      </c>
      <c r="H248" s="49">
        <f>DistMeetingQuota[[#This Row],[Actual]]/DistMeetingQuota[[#This Row],[Quota]]</f>
        <v>0</v>
      </c>
      <c r="I248" s="4"/>
      <c r="J248" s="2"/>
      <c r="K248" s="2"/>
      <c r="L248" s="2"/>
      <c r="M248" s="2"/>
      <c r="N248" s="2"/>
      <c r="O248" s="2"/>
      <c r="P248" s="4" t="s">
        <v>14</v>
      </c>
      <c r="Q248" s="2"/>
    </row>
    <row r="249" spans="1:17" s="109" customFormat="1" ht="30">
      <c r="A249" s="4">
        <v>2108313</v>
      </c>
      <c r="B249" s="5" t="s">
        <v>213</v>
      </c>
      <c r="C249" s="4" t="s">
        <v>36</v>
      </c>
      <c r="D249" s="4" t="s">
        <v>11</v>
      </c>
      <c r="E249" s="53">
        <v>2</v>
      </c>
      <c r="F249" s="11">
        <f>SUM(DistMeetingQuota[[#This Row],[Sep]:[Feb]])</f>
        <v>0</v>
      </c>
      <c r="G249" s="11">
        <f>DistMeetingQuota[[#This Row],[Quota]]-DistMeetingQuota[[#This Row],[Actual]]</f>
        <v>2</v>
      </c>
      <c r="H249" s="49">
        <f>DistMeetingQuota[[#This Row],[Actual]]/DistMeetingQuota[[#This Row],[Quota]]</f>
        <v>0</v>
      </c>
      <c r="I249" s="4"/>
      <c r="J249" s="2"/>
      <c r="K249" s="2"/>
      <c r="L249" s="2"/>
      <c r="M249" s="2"/>
      <c r="N249" s="2"/>
      <c r="O249" s="2"/>
      <c r="P249" s="4" t="s">
        <v>14</v>
      </c>
      <c r="Q249" s="2"/>
    </row>
    <row r="250" spans="1:17" s="109" customFormat="1" ht="30">
      <c r="A250" s="4">
        <v>2135930</v>
      </c>
      <c r="B250" s="5" t="s">
        <v>494</v>
      </c>
      <c r="C250" s="4" t="s">
        <v>286</v>
      </c>
      <c r="D250" s="4" t="s">
        <v>11</v>
      </c>
      <c r="E250" s="53">
        <v>2</v>
      </c>
      <c r="F250" s="11">
        <f>SUM(DistMeetingQuota[[#This Row],[Sep]:[Feb]])</f>
        <v>0</v>
      </c>
      <c r="G250" s="11">
        <f>DistMeetingQuota[[#This Row],[Quota]]-DistMeetingQuota[[#This Row],[Actual]]</f>
        <v>2</v>
      </c>
      <c r="H250" s="49">
        <f>DistMeetingQuota[[#This Row],[Actual]]/DistMeetingQuota[[#This Row],[Quota]]</f>
        <v>0</v>
      </c>
      <c r="I250" s="4"/>
      <c r="J250" s="2"/>
      <c r="K250" s="2"/>
      <c r="L250" s="2"/>
      <c r="M250" s="2"/>
      <c r="N250" s="2"/>
      <c r="O250" s="2"/>
      <c r="P250" s="4" t="s">
        <v>14</v>
      </c>
      <c r="Q250" s="2"/>
    </row>
    <row r="251" spans="1:17" s="109" customFormat="1" ht="30">
      <c r="A251" s="4">
        <v>2136934</v>
      </c>
      <c r="B251" s="5" t="s">
        <v>214</v>
      </c>
      <c r="C251" s="4" t="s">
        <v>286</v>
      </c>
      <c r="D251" s="4" t="s">
        <v>11</v>
      </c>
      <c r="E251" s="53">
        <v>2</v>
      </c>
      <c r="F251" s="11">
        <f>SUM(DistMeetingQuota[[#This Row],[Sep]:[Feb]])</f>
        <v>0</v>
      </c>
      <c r="G251" s="11">
        <f>DistMeetingQuota[[#This Row],[Quota]]-DistMeetingQuota[[#This Row],[Actual]]</f>
        <v>2</v>
      </c>
      <c r="H251" s="49">
        <f>DistMeetingQuota[[#This Row],[Actual]]/DistMeetingQuota[[#This Row],[Quota]]</f>
        <v>0</v>
      </c>
      <c r="I251" s="4"/>
      <c r="J251" s="2"/>
      <c r="K251" s="2"/>
      <c r="L251" s="2"/>
      <c r="M251" s="2"/>
      <c r="N251" s="2"/>
      <c r="O251" s="2"/>
      <c r="P251" s="4" t="s">
        <v>14</v>
      </c>
      <c r="Q251" s="2"/>
    </row>
    <row r="252" spans="1:17" s="109" customFormat="1">
      <c r="A252" s="4">
        <v>2085669</v>
      </c>
      <c r="B252" s="5" t="s">
        <v>215</v>
      </c>
      <c r="C252" s="4" t="s">
        <v>286</v>
      </c>
      <c r="D252" s="4" t="s">
        <v>11</v>
      </c>
      <c r="E252" s="53">
        <v>2</v>
      </c>
      <c r="F252" s="11">
        <f>SUM(DistMeetingQuota[[#This Row],[Sep]:[Feb]])</f>
        <v>0</v>
      </c>
      <c r="G252" s="11">
        <f>DistMeetingQuota[[#This Row],[Quota]]-DistMeetingQuota[[#This Row],[Actual]]</f>
        <v>2</v>
      </c>
      <c r="H252" s="49">
        <f>DistMeetingQuota[[#This Row],[Actual]]/DistMeetingQuota[[#This Row],[Quota]]</f>
        <v>0</v>
      </c>
      <c r="I252" s="4"/>
      <c r="J252" s="2"/>
      <c r="K252" s="2"/>
      <c r="L252" s="2"/>
      <c r="M252" s="2"/>
      <c r="N252" s="2"/>
      <c r="O252" s="2"/>
      <c r="P252" s="4" t="s">
        <v>14</v>
      </c>
      <c r="Q252" s="2"/>
    </row>
    <row r="253" spans="1:17" s="109" customFormat="1" ht="30">
      <c r="A253" s="4">
        <v>2060914</v>
      </c>
      <c r="B253" s="5" t="s">
        <v>216</v>
      </c>
      <c r="C253" s="4" t="s">
        <v>286</v>
      </c>
      <c r="D253" s="4" t="s">
        <v>11</v>
      </c>
      <c r="E253" s="53">
        <v>2</v>
      </c>
      <c r="F253" s="11">
        <f>SUM(DistMeetingQuota[[#This Row],[Sep]:[Feb]])</f>
        <v>2</v>
      </c>
      <c r="G253" s="11">
        <f>DistMeetingQuota[[#This Row],[Quota]]-DistMeetingQuota[[#This Row],[Actual]]</f>
        <v>0</v>
      </c>
      <c r="H253" s="49">
        <f>DistMeetingQuota[[#This Row],[Actual]]/DistMeetingQuota[[#This Row],[Quota]]</f>
        <v>1</v>
      </c>
      <c r="I253" s="4"/>
      <c r="J253" s="2">
        <v>1</v>
      </c>
      <c r="K253" s="2"/>
      <c r="L253" s="2">
        <v>1</v>
      </c>
      <c r="M253" s="2"/>
      <c r="N253" s="2"/>
      <c r="O253" s="2"/>
      <c r="P253" s="4" t="s">
        <v>6</v>
      </c>
      <c r="Q253" s="2"/>
    </row>
    <row r="254" spans="1:17" s="109" customFormat="1">
      <c r="A254" s="4">
        <v>2101018</v>
      </c>
      <c r="B254" s="5" t="s">
        <v>217</v>
      </c>
      <c r="C254" s="4" t="s">
        <v>286</v>
      </c>
      <c r="D254" s="4" t="s">
        <v>11</v>
      </c>
      <c r="E254" s="53">
        <v>2</v>
      </c>
      <c r="F254" s="11">
        <f>SUM(DistMeetingQuota[[#This Row],[Sep]:[Feb]])</f>
        <v>0</v>
      </c>
      <c r="G254" s="11">
        <f>DistMeetingQuota[[#This Row],[Quota]]-DistMeetingQuota[[#This Row],[Actual]]</f>
        <v>2</v>
      </c>
      <c r="H254" s="49">
        <f>DistMeetingQuota[[#This Row],[Actual]]/DistMeetingQuota[[#This Row],[Quota]]</f>
        <v>0</v>
      </c>
      <c r="I254" s="4"/>
      <c r="J254" s="2"/>
      <c r="K254" s="2"/>
      <c r="L254" s="2"/>
      <c r="M254" s="2"/>
      <c r="N254" s="2"/>
      <c r="O254" s="2"/>
      <c r="P254" s="4" t="s">
        <v>14</v>
      </c>
      <c r="Q254" s="2"/>
    </row>
    <row r="255" spans="1:17" s="109" customFormat="1">
      <c r="A255" s="4">
        <v>2161463</v>
      </c>
      <c r="B255" s="5" t="s">
        <v>218</v>
      </c>
      <c r="C255" s="140" t="s">
        <v>22</v>
      </c>
      <c r="D255" s="4" t="s">
        <v>13</v>
      </c>
      <c r="E255" s="53">
        <v>3</v>
      </c>
      <c r="F255" s="11">
        <f>SUM(DistMeetingQuota[[#This Row],[Sep]:[Feb]])</f>
        <v>3</v>
      </c>
      <c r="G255" s="11">
        <f>DistMeetingQuota[[#This Row],[Quota]]-DistMeetingQuota[[#This Row],[Actual]]</f>
        <v>0</v>
      </c>
      <c r="H255" s="49">
        <f>DistMeetingQuota[[#This Row],[Actual]]/DistMeetingQuota[[#This Row],[Quota]]</f>
        <v>1</v>
      </c>
      <c r="I255" s="4"/>
      <c r="J255" s="2"/>
      <c r="K255" s="2"/>
      <c r="L255" s="2"/>
      <c r="M255" s="2"/>
      <c r="N255" s="2">
        <v>3</v>
      </c>
      <c r="O255" s="2"/>
      <c r="P255" s="4" t="s">
        <v>68</v>
      </c>
      <c r="Q255" s="2"/>
    </row>
    <row r="256" spans="1:17" s="109" customFormat="1">
      <c r="A256" s="4">
        <v>2161463</v>
      </c>
      <c r="B256" s="5" t="s">
        <v>218</v>
      </c>
      <c r="C256" s="140" t="s">
        <v>22</v>
      </c>
      <c r="D256" s="4" t="s">
        <v>487</v>
      </c>
      <c r="E256" s="53">
        <v>2</v>
      </c>
      <c r="F256" s="11">
        <f>SUM(DistMeetingQuota[[#This Row],[Sep]:[Feb]])</f>
        <v>2</v>
      </c>
      <c r="G256" s="11">
        <f>DistMeetingQuota[[#This Row],[Quota]]-DistMeetingQuota[[#This Row],[Actual]]</f>
        <v>0</v>
      </c>
      <c r="H256" s="49">
        <f>DistMeetingQuota[[#This Row],[Actual]]/DistMeetingQuota[[#This Row],[Quota]]</f>
        <v>1</v>
      </c>
      <c r="I256" s="4"/>
      <c r="J256" s="2">
        <v>2</v>
      </c>
      <c r="K256" s="2"/>
      <c r="L256" s="2"/>
      <c r="M256" s="2"/>
      <c r="N256" s="2"/>
      <c r="O256" s="2"/>
      <c r="P256" s="4" t="s">
        <v>68</v>
      </c>
      <c r="Q256" s="2"/>
    </row>
    <row r="257" spans="1:17" s="109" customFormat="1" ht="30">
      <c r="A257" s="4">
        <v>2066526</v>
      </c>
      <c r="B257" s="5" t="s">
        <v>219</v>
      </c>
      <c r="C257" s="4" t="s">
        <v>36</v>
      </c>
      <c r="D257" s="4" t="s">
        <v>11</v>
      </c>
      <c r="E257" s="53">
        <v>2</v>
      </c>
      <c r="F257" s="11">
        <f>SUM(DistMeetingQuota[[#This Row],[Sep]:[Feb]])</f>
        <v>0</v>
      </c>
      <c r="G257" s="11">
        <f>DistMeetingQuota[[#This Row],[Quota]]-DistMeetingQuota[[#This Row],[Actual]]</f>
        <v>2</v>
      </c>
      <c r="H257" s="49">
        <f>DistMeetingQuota[[#This Row],[Actual]]/DistMeetingQuota[[#This Row],[Quota]]</f>
        <v>0</v>
      </c>
      <c r="I257" s="4"/>
      <c r="J257" s="2"/>
      <c r="K257" s="2"/>
      <c r="L257" s="2"/>
      <c r="M257" s="2"/>
      <c r="N257" s="2"/>
      <c r="O257" s="2"/>
      <c r="P257" s="4" t="s">
        <v>478</v>
      </c>
      <c r="Q257" s="2"/>
    </row>
    <row r="258" spans="1:17" s="109" customFormat="1" ht="30">
      <c r="A258" s="4">
        <v>2066526</v>
      </c>
      <c r="B258" s="5" t="s">
        <v>219</v>
      </c>
      <c r="C258" s="4" t="s">
        <v>36</v>
      </c>
      <c r="D258" s="4" t="s">
        <v>5</v>
      </c>
      <c r="E258" s="53">
        <v>24</v>
      </c>
      <c r="F258" s="11">
        <f>SUM(DistMeetingQuota[[#This Row],[Sep]:[Feb]])</f>
        <v>0</v>
      </c>
      <c r="G258" s="11">
        <f>DistMeetingQuota[[#This Row],[Quota]]-DistMeetingQuota[[#This Row],[Actual]]</f>
        <v>24</v>
      </c>
      <c r="H258" s="49">
        <f>DistMeetingQuota[[#This Row],[Actual]]/DistMeetingQuota[[#This Row],[Quota]]</f>
        <v>0</v>
      </c>
      <c r="I258" s="4"/>
      <c r="J258" s="2"/>
      <c r="K258" s="2"/>
      <c r="L258" s="2"/>
      <c r="M258" s="2"/>
      <c r="N258" s="2"/>
      <c r="O258" s="2"/>
      <c r="P258" s="4" t="s">
        <v>478</v>
      </c>
      <c r="Q258" s="2"/>
    </row>
    <row r="259" spans="1:17" s="109" customFormat="1" ht="30">
      <c r="A259" s="4">
        <v>2167381</v>
      </c>
      <c r="B259" s="5" t="s">
        <v>220</v>
      </c>
      <c r="C259" s="4" t="s">
        <v>286</v>
      </c>
      <c r="D259" s="4" t="s">
        <v>11</v>
      </c>
      <c r="E259" s="53">
        <v>2</v>
      </c>
      <c r="F259" s="11">
        <f>SUM(DistMeetingQuota[[#This Row],[Sep]:[Feb]])</f>
        <v>2</v>
      </c>
      <c r="G259" s="11">
        <f>DistMeetingQuota[[#This Row],[Quota]]-DistMeetingQuota[[#This Row],[Actual]]</f>
        <v>0</v>
      </c>
      <c r="H259" s="49">
        <f>DistMeetingQuota[[#This Row],[Actual]]/DistMeetingQuota[[#This Row],[Quota]]</f>
        <v>1</v>
      </c>
      <c r="I259" s="4"/>
      <c r="J259" s="2"/>
      <c r="K259" s="2">
        <v>2</v>
      </c>
      <c r="L259" s="2"/>
      <c r="M259" s="2"/>
      <c r="N259" s="2"/>
      <c r="O259" s="2"/>
      <c r="P259" s="4" t="s">
        <v>66</v>
      </c>
      <c r="Q259" s="2"/>
    </row>
    <row r="260" spans="1:17" s="109" customFormat="1" ht="30">
      <c r="A260" s="4">
        <v>2167381</v>
      </c>
      <c r="B260" s="5" t="s">
        <v>220</v>
      </c>
      <c r="C260" s="4" t="s">
        <v>286</v>
      </c>
      <c r="D260" s="4" t="s">
        <v>5</v>
      </c>
      <c r="E260" s="53">
        <v>24</v>
      </c>
      <c r="F260" s="11">
        <f>SUM(DistMeetingQuota[[#This Row],[Sep]:[Feb]])</f>
        <v>0</v>
      </c>
      <c r="G260" s="11">
        <f>DistMeetingQuota[[#This Row],[Quota]]-DistMeetingQuota[[#This Row],[Actual]]</f>
        <v>24</v>
      </c>
      <c r="H260" s="49">
        <f>DistMeetingQuota[[#This Row],[Actual]]/DistMeetingQuota[[#This Row],[Quota]]</f>
        <v>0</v>
      </c>
      <c r="I260" s="4"/>
      <c r="J260" s="2"/>
      <c r="K260" s="2"/>
      <c r="L260" s="2"/>
      <c r="M260" s="2"/>
      <c r="N260" s="2"/>
      <c r="O260" s="2"/>
      <c r="P260" s="4" t="s">
        <v>66</v>
      </c>
      <c r="Q260" s="2"/>
    </row>
    <row r="261" spans="1:17" s="109" customFormat="1" ht="30">
      <c r="A261" s="4">
        <v>2074059</v>
      </c>
      <c r="B261" s="5" t="s">
        <v>221</v>
      </c>
      <c r="C261" s="4" t="s">
        <v>286</v>
      </c>
      <c r="D261" s="4" t="s">
        <v>11</v>
      </c>
      <c r="E261" s="53">
        <v>2</v>
      </c>
      <c r="F261" s="11">
        <f>SUM(DistMeetingQuota[[#This Row],[Sep]:[Feb]])</f>
        <v>0</v>
      </c>
      <c r="G261" s="11">
        <f>DistMeetingQuota[[#This Row],[Quota]]-DistMeetingQuota[[#This Row],[Actual]]</f>
        <v>2</v>
      </c>
      <c r="H261" s="49">
        <f>DistMeetingQuota[[#This Row],[Actual]]/DistMeetingQuota[[#This Row],[Quota]]</f>
        <v>0</v>
      </c>
      <c r="I261" s="4"/>
      <c r="J261" s="2"/>
      <c r="K261" s="2"/>
      <c r="L261" s="2"/>
      <c r="M261" s="2"/>
      <c r="N261" s="2"/>
      <c r="O261" s="2"/>
      <c r="P261" s="4" t="s">
        <v>495</v>
      </c>
      <c r="Q261" s="2"/>
    </row>
    <row r="262" spans="1:17" s="109" customFormat="1" ht="30">
      <c r="A262" s="4">
        <v>2117007</v>
      </c>
      <c r="B262" s="5" t="s">
        <v>222</v>
      </c>
      <c r="C262" s="4" t="s">
        <v>21</v>
      </c>
      <c r="D262" s="4" t="s">
        <v>11</v>
      </c>
      <c r="E262" s="53">
        <v>3</v>
      </c>
      <c r="F262" s="11">
        <f>SUM(DistMeetingQuota[[#This Row],[Sep]:[Feb]])</f>
        <v>0</v>
      </c>
      <c r="G262" s="11">
        <f>DistMeetingQuota[[#This Row],[Quota]]-DistMeetingQuota[[#This Row],[Actual]]</f>
        <v>3</v>
      </c>
      <c r="H262" s="49">
        <f>DistMeetingQuota[[#This Row],[Actual]]/DistMeetingQuota[[#This Row],[Quota]]</f>
        <v>0</v>
      </c>
      <c r="I262" s="4"/>
      <c r="J262" s="2"/>
      <c r="K262" s="2"/>
      <c r="L262" s="2"/>
      <c r="M262" s="2"/>
      <c r="N262" s="2"/>
      <c r="O262" s="2"/>
      <c r="P262" s="4" t="s">
        <v>14</v>
      </c>
      <c r="Q262" s="2"/>
    </row>
    <row r="263" spans="1:17" s="109" customFormat="1" ht="30">
      <c r="A263" s="4">
        <v>2117007</v>
      </c>
      <c r="B263" s="5" t="s">
        <v>222</v>
      </c>
      <c r="C263" s="4" t="s">
        <v>21</v>
      </c>
      <c r="D263" s="4" t="s">
        <v>13</v>
      </c>
      <c r="E263" s="53">
        <v>2</v>
      </c>
      <c r="F263" s="11">
        <f>SUM(DistMeetingQuota[[#This Row],[Sep]:[Feb]])</f>
        <v>0</v>
      </c>
      <c r="G263" s="11">
        <f>DistMeetingQuota[[#This Row],[Quota]]-DistMeetingQuota[[#This Row],[Actual]]</f>
        <v>2</v>
      </c>
      <c r="H263" s="49">
        <f>DistMeetingQuota[[#This Row],[Actual]]/DistMeetingQuota[[#This Row],[Quota]]</f>
        <v>0</v>
      </c>
      <c r="I263" s="4"/>
      <c r="J263" s="2"/>
      <c r="K263" s="2"/>
      <c r="L263" s="2"/>
      <c r="M263" s="2"/>
      <c r="N263" s="2"/>
      <c r="O263" s="2"/>
      <c r="P263" s="4" t="s">
        <v>14</v>
      </c>
      <c r="Q263" s="2"/>
    </row>
    <row r="264" spans="1:17" s="109" customFormat="1" ht="30">
      <c r="A264" s="4">
        <v>2078090</v>
      </c>
      <c r="B264" s="5" t="s">
        <v>223</v>
      </c>
      <c r="C264" s="4" t="s">
        <v>286</v>
      </c>
      <c r="D264" s="4" t="s">
        <v>11</v>
      </c>
      <c r="E264" s="53">
        <v>2</v>
      </c>
      <c r="F264" s="11">
        <f>SUM(DistMeetingQuota[[#This Row],[Sep]:[Feb]])</f>
        <v>0</v>
      </c>
      <c r="G264" s="11">
        <f>DistMeetingQuota[[#This Row],[Quota]]-DistMeetingQuota[[#This Row],[Actual]]</f>
        <v>2</v>
      </c>
      <c r="H264" s="49">
        <f>DistMeetingQuota[[#This Row],[Actual]]/DistMeetingQuota[[#This Row],[Quota]]</f>
        <v>0</v>
      </c>
      <c r="I264" s="4"/>
      <c r="J264" s="2"/>
      <c r="K264" s="2"/>
      <c r="L264" s="2"/>
      <c r="M264" s="2"/>
      <c r="N264" s="2"/>
      <c r="O264" s="2"/>
      <c r="P264" s="4" t="s">
        <v>496</v>
      </c>
      <c r="Q264" s="2"/>
    </row>
    <row r="265" spans="1:17" s="109" customFormat="1" ht="30">
      <c r="A265" s="4">
        <v>2078090</v>
      </c>
      <c r="B265" s="5" t="s">
        <v>223</v>
      </c>
      <c r="C265" s="4" t="s">
        <v>286</v>
      </c>
      <c r="D265" s="4" t="s">
        <v>5</v>
      </c>
      <c r="E265" s="53">
        <v>24</v>
      </c>
      <c r="F265" s="11">
        <f>SUM(DistMeetingQuota[[#This Row],[Sep]:[Feb]])</f>
        <v>0</v>
      </c>
      <c r="G265" s="11">
        <f>DistMeetingQuota[[#This Row],[Quota]]-DistMeetingQuota[[#This Row],[Actual]]</f>
        <v>24</v>
      </c>
      <c r="H265" s="49">
        <f>DistMeetingQuota[[#This Row],[Actual]]/DistMeetingQuota[[#This Row],[Quota]]</f>
        <v>0</v>
      </c>
      <c r="I265" s="4"/>
      <c r="J265" s="2"/>
      <c r="K265" s="2"/>
      <c r="L265" s="2"/>
      <c r="M265" s="2"/>
      <c r="N265" s="2"/>
      <c r="O265" s="2"/>
      <c r="P265" s="4" t="s">
        <v>496</v>
      </c>
      <c r="Q265" s="2"/>
    </row>
    <row r="266" spans="1:17" s="109" customFormat="1">
      <c r="A266" s="4">
        <v>2026314</v>
      </c>
      <c r="B266" s="5" t="s">
        <v>224</v>
      </c>
      <c r="C266" s="4" t="s">
        <v>36</v>
      </c>
      <c r="D266" s="4" t="s">
        <v>11</v>
      </c>
      <c r="E266" s="53">
        <v>2</v>
      </c>
      <c r="F266" s="11">
        <f>SUM(DistMeetingQuota[[#This Row],[Sep]:[Feb]])</f>
        <v>1</v>
      </c>
      <c r="G266" s="11">
        <f>DistMeetingQuota[[#This Row],[Quota]]-DistMeetingQuota[[#This Row],[Actual]]</f>
        <v>1</v>
      </c>
      <c r="H266" s="49">
        <f>DistMeetingQuota[[#This Row],[Actual]]/DistMeetingQuota[[#This Row],[Quota]]</f>
        <v>0.5</v>
      </c>
      <c r="I266" s="4"/>
      <c r="J266" s="2">
        <v>1</v>
      </c>
      <c r="K266" s="2"/>
      <c r="L266" s="2"/>
      <c r="M266" s="2"/>
      <c r="N266" s="2"/>
      <c r="O266" s="2"/>
      <c r="P266" s="4" t="s">
        <v>10</v>
      </c>
      <c r="Q266" s="2"/>
    </row>
    <row r="267" spans="1:17" s="109" customFormat="1" ht="30">
      <c r="A267" s="4">
        <v>2163988</v>
      </c>
      <c r="B267" s="5" t="s">
        <v>225</v>
      </c>
      <c r="C267" s="4" t="s">
        <v>21</v>
      </c>
      <c r="D267" s="4" t="s">
        <v>11</v>
      </c>
      <c r="E267" s="53">
        <v>3</v>
      </c>
      <c r="F267" s="11">
        <f>SUM(DistMeetingQuota[[#This Row],[Sep]:[Feb]])</f>
        <v>3</v>
      </c>
      <c r="G267" s="11">
        <f>DistMeetingQuota[[#This Row],[Quota]]-DistMeetingQuota[[#This Row],[Actual]]</f>
        <v>0</v>
      </c>
      <c r="H267" s="49">
        <f>DistMeetingQuota[[#This Row],[Actual]]/DistMeetingQuota[[#This Row],[Quota]]</f>
        <v>1</v>
      </c>
      <c r="I267" s="4"/>
      <c r="J267" s="2">
        <v>1</v>
      </c>
      <c r="K267" s="2">
        <v>2</v>
      </c>
      <c r="L267" s="2"/>
      <c r="M267" s="2"/>
      <c r="N267" s="2"/>
      <c r="O267" s="2"/>
      <c r="P267" s="4" t="s">
        <v>67</v>
      </c>
      <c r="Q267" s="2"/>
    </row>
    <row r="268" spans="1:17" s="109" customFormat="1" ht="30">
      <c r="A268" s="4">
        <v>2163988</v>
      </c>
      <c r="B268" s="5" t="s">
        <v>225</v>
      </c>
      <c r="C268" s="4" t="s">
        <v>21</v>
      </c>
      <c r="D268" s="4" t="s">
        <v>13</v>
      </c>
      <c r="E268" s="53">
        <v>2</v>
      </c>
      <c r="F268" s="11">
        <f>SUM(DistMeetingQuota[[#This Row],[Sep]:[Feb]])</f>
        <v>0</v>
      </c>
      <c r="G268" s="11">
        <f>DistMeetingQuota[[#This Row],[Quota]]-DistMeetingQuota[[#This Row],[Actual]]</f>
        <v>2</v>
      </c>
      <c r="H268" s="49">
        <f>DistMeetingQuota[[#This Row],[Actual]]/DistMeetingQuota[[#This Row],[Quota]]</f>
        <v>0</v>
      </c>
      <c r="I268" s="4"/>
      <c r="J268" s="2"/>
      <c r="K268" s="2"/>
      <c r="L268" s="2"/>
      <c r="M268" s="2"/>
      <c r="N268" s="2"/>
      <c r="O268" s="2"/>
      <c r="P268" s="4" t="s">
        <v>67</v>
      </c>
      <c r="Q268" s="2"/>
    </row>
    <row r="269" spans="1:17" s="109" customFormat="1" ht="30">
      <c r="A269" s="4">
        <v>2145719</v>
      </c>
      <c r="B269" s="5" t="s">
        <v>227</v>
      </c>
      <c r="C269" s="4" t="s">
        <v>19</v>
      </c>
      <c r="D269" s="4" t="s">
        <v>11</v>
      </c>
      <c r="E269" s="53">
        <v>2</v>
      </c>
      <c r="F269" s="11">
        <f>SUM(DistMeetingQuota[[#This Row],[Sep]:[Feb]])</f>
        <v>0</v>
      </c>
      <c r="G269" s="11">
        <f>DistMeetingQuota[[#This Row],[Quota]]-DistMeetingQuota[[#This Row],[Actual]]</f>
        <v>2</v>
      </c>
      <c r="H269" s="49">
        <f>DistMeetingQuota[[#This Row],[Actual]]/DistMeetingQuota[[#This Row],[Quota]]</f>
        <v>0</v>
      </c>
      <c r="I269" s="4"/>
      <c r="J269" s="2"/>
      <c r="K269" s="2"/>
      <c r="L269" s="2"/>
      <c r="M269" s="2"/>
      <c r="N269" s="2"/>
      <c r="O269" s="4"/>
      <c r="P269" s="4" t="s">
        <v>14</v>
      </c>
      <c r="Q269" s="2"/>
    </row>
    <row r="270" spans="1:17" s="109" customFormat="1">
      <c r="A270" s="4">
        <v>2009888</v>
      </c>
      <c r="B270" s="5" t="s">
        <v>228</v>
      </c>
      <c r="C270" s="4" t="s">
        <v>22</v>
      </c>
      <c r="D270" s="4" t="s">
        <v>13</v>
      </c>
      <c r="E270" s="53">
        <v>3</v>
      </c>
      <c r="F270" s="11">
        <f>SUM(DistMeetingQuota[[#This Row],[Sep]:[Feb]])</f>
        <v>3</v>
      </c>
      <c r="G270" s="11">
        <f>DistMeetingQuota[[#This Row],[Quota]]-DistMeetingQuota[[#This Row],[Actual]]</f>
        <v>0</v>
      </c>
      <c r="H270" s="49">
        <f>DistMeetingQuota[[#This Row],[Actual]]/DistMeetingQuota[[#This Row],[Quota]]</f>
        <v>1</v>
      </c>
      <c r="I270" s="4"/>
      <c r="J270" s="2"/>
      <c r="K270" s="2"/>
      <c r="L270" s="2"/>
      <c r="M270" s="2"/>
      <c r="N270" s="2">
        <v>3</v>
      </c>
      <c r="O270" s="2"/>
      <c r="P270" s="4" t="s">
        <v>14</v>
      </c>
      <c r="Q270" s="2"/>
    </row>
    <row r="271" spans="1:17" s="109" customFormat="1">
      <c r="A271" s="4">
        <v>2009888</v>
      </c>
      <c r="B271" s="5" t="s">
        <v>228</v>
      </c>
      <c r="C271" s="4" t="s">
        <v>22</v>
      </c>
      <c r="D271" s="4" t="s">
        <v>487</v>
      </c>
      <c r="E271" s="53">
        <v>2</v>
      </c>
      <c r="F271" s="11">
        <f>SUM(DistMeetingQuota[[#This Row],[Sep]:[Feb]])</f>
        <v>2</v>
      </c>
      <c r="G271" s="11">
        <f>DistMeetingQuota[[#This Row],[Quota]]-DistMeetingQuota[[#This Row],[Actual]]</f>
        <v>0</v>
      </c>
      <c r="H271" s="49">
        <f>DistMeetingQuota[[#This Row],[Actual]]/DistMeetingQuota[[#This Row],[Quota]]</f>
        <v>1</v>
      </c>
      <c r="I271" s="4"/>
      <c r="J271" s="2">
        <v>2</v>
      </c>
      <c r="K271" s="2"/>
      <c r="L271" s="2"/>
      <c r="M271" s="2"/>
      <c r="N271" s="2"/>
      <c r="O271" s="2"/>
      <c r="P271" s="4" t="s">
        <v>14</v>
      </c>
      <c r="Q271" s="2"/>
    </row>
    <row r="272" spans="1:17" s="109" customFormat="1">
      <c r="A272" s="4">
        <v>2124251</v>
      </c>
      <c r="B272" s="5" t="s">
        <v>229</v>
      </c>
      <c r="C272" s="4" t="s">
        <v>286</v>
      </c>
      <c r="D272" s="4" t="s">
        <v>5</v>
      </c>
      <c r="E272" s="53">
        <v>24</v>
      </c>
      <c r="F272" s="11">
        <f>SUM(DistMeetingQuota[[#This Row],[Sep]:[Feb]])</f>
        <v>18</v>
      </c>
      <c r="G272" s="11">
        <f>DistMeetingQuota[[#This Row],[Quota]]-DistMeetingQuota[[#This Row],[Actual]]</f>
        <v>6</v>
      </c>
      <c r="H272" s="49">
        <f>DistMeetingQuota[[#This Row],[Actual]]/DistMeetingQuota[[#This Row],[Quota]]</f>
        <v>0.75</v>
      </c>
      <c r="I272" s="4"/>
      <c r="J272" s="2">
        <v>5</v>
      </c>
      <c r="K272" s="2">
        <v>3</v>
      </c>
      <c r="L272" s="2">
        <v>2</v>
      </c>
      <c r="M272" s="2">
        <v>4</v>
      </c>
      <c r="N272" s="2">
        <v>4</v>
      </c>
      <c r="O272" s="2"/>
      <c r="P272" s="4" t="s">
        <v>14</v>
      </c>
      <c r="Q272" s="2"/>
    </row>
    <row r="273" spans="1:17" s="109" customFormat="1">
      <c r="A273" s="4">
        <v>2124251</v>
      </c>
      <c r="B273" s="5" t="s">
        <v>229</v>
      </c>
      <c r="C273" s="4" t="s">
        <v>286</v>
      </c>
      <c r="D273" s="4" t="s">
        <v>11</v>
      </c>
      <c r="E273" s="53">
        <v>2</v>
      </c>
      <c r="F273" s="11">
        <f>SUM(DistMeetingQuota[[#This Row],[Sep]:[Feb]])</f>
        <v>0</v>
      </c>
      <c r="G273" s="11">
        <f>DistMeetingQuota[[#This Row],[Quota]]-DistMeetingQuota[[#This Row],[Actual]]</f>
        <v>2</v>
      </c>
      <c r="H273" s="49">
        <f>DistMeetingQuota[[#This Row],[Actual]]/DistMeetingQuota[[#This Row],[Quota]]</f>
        <v>0</v>
      </c>
      <c r="I273" s="4"/>
      <c r="J273" s="2"/>
      <c r="K273" s="2"/>
      <c r="L273" s="2"/>
      <c r="M273" s="2"/>
      <c r="N273" s="2"/>
      <c r="O273" s="2"/>
      <c r="P273" s="4" t="s">
        <v>14</v>
      </c>
      <c r="Q273" s="2"/>
    </row>
    <row r="274" spans="1:17" s="109" customFormat="1">
      <c r="A274" s="4">
        <v>2022472</v>
      </c>
      <c r="B274" s="5" t="s">
        <v>230</v>
      </c>
      <c r="C274" s="4" t="s">
        <v>286</v>
      </c>
      <c r="D274" s="4" t="s">
        <v>11</v>
      </c>
      <c r="E274" s="53">
        <v>2</v>
      </c>
      <c r="F274" s="11">
        <f>SUM(DistMeetingQuota[[#This Row],[Sep]:[Feb]])</f>
        <v>2</v>
      </c>
      <c r="G274" s="11">
        <f>DistMeetingQuota[[#This Row],[Quota]]-DistMeetingQuota[[#This Row],[Actual]]</f>
        <v>0</v>
      </c>
      <c r="H274" s="49">
        <f>DistMeetingQuota[[#This Row],[Actual]]/DistMeetingQuota[[#This Row],[Quota]]</f>
        <v>1</v>
      </c>
      <c r="I274" s="4">
        <v>2</v>
      </c>
      <c r="J274" s="2"/>
      <c r="K274" s="2"/>
      <c r="L274" s="2"/>
      <c r="M274" s="2"/>
      <c r="N274" s="2"/>
      <c r="O274" s="2"/>
      <c r="P274" s="4" t="s">
        <v>10</v>
      </c>
      <c r="Q274" s="2"/>
    </row>
    <row r="275" spans="1:17" s="109" customFormat="1" ht="30">
      <c r="A275" s="4">
        <v>2090020</v>
      </c>
      <c r="B275" s="5" t="s">
        <v>231</v>
      </c>
      <c r="C275" s="4" t="s">
        <v>19</v>
      </c>
      <c r="D275" s="4" t="s">
        <v>5</v>
      </c>
      <c r="E275" s="53">
        <v>24</v>
      </c>
      <c r="F275" s="11">
        <f>SUM(DistMeetingQuota[[#This Row],[Sep]:[Feb]])</f>
        <v>2</v>
      </c>
      <c r="G275" s="11">
        <f>DistMeetingQuota[[#This Row],[Quota]]-DistMeetingQuota[[#This Row],[Actual]]</f>
        <v>22</v>
      </c>
      <c r="H275" s="49">
        <f>DistMeetingQuota[[#This Row],[Actual]]/DistMeetingQuota[[#This Row],[Quota]]</f>
        <v>8.3333333333333329E-2</v>
      </c>
      <c r="I275" s="4"/>
      <c r="J275" s="2">
        <v>1</v>
      </c>
      <c r="K275" s="2">
        <v>1</v>
      </c>
      <c r="L275" s="2"/>
      <c r="M275" s="2"/>
      <c r="N275" s="2"/>
      <c r="O275" s="2"/>
      <c r="P275" s="4" t="s">
        <v>6</v>
      </c>
      <c r="Q275" s="2"/>
    </row>
    <row r="276" spans="1:17" s="109" customFormat="1" ht="30">
      <c r="A276" s="4">
        <v>2090020</v>
      </c>
      <c r="B276" s="5" t="s">
        <v>231</v>
      </c>
      <c r="C276" s="4" t="s">
        <v>19</v>
      </c>
      <c r="D276" s="4" t="s">
        <v>11</v>
      </c>
      <c r="E276" s="53">
        <v>2</v>
      </c>
      <c r="F276" s="11">
        <f>SUM(DistMeetingQuota[[#This Row],[Sep]:[Feb]])</f>
        <v>2</v>
      </c>
      <c r="G276" s="11">
        <f>DistMeetingQuota[[#This Row],[Quota]]-DistMeetingQuota[[#This Row],[Actual]]</f>
        <v>0</v>
      </c>
      <c r="H276" s="49">
        <f>DistMeetingQuota[[#This Row],[Actual]]/DistMeetingQuota[[#This Row],[Quota]]</f>
        <v>1</v>
      </c>
      <c r="I276" s="4"/>
      <c r="J276" s="2">
        <v>1</v>
      </c>
      <c r="K276" s="2"/>
      <c r="L276" s="2">
        <v>1</v>
      </c>
      <c r="M276" s="2"/>
      <c r="N276" s="2"/>
      <c r="O276" s="2"/>
      <c r="P276" s="4" t="s">
        <v>6</v>
      </c>
      <c r="Q276" s="2"/>
    </row>
    <row r="277" spans="1:17" s="109" customFormat="1" ht="30">
      <c r="A277" s="4">
        <v>2052875</v>
      </c>
      <c r="B277" s="5" t="s">
        <v>232</v>
      </c>
      <c r="C277" s="4" t="s">
        <v>36</v>
      </c>
      <c r="D277" s="4" t="s">
        <v>11</v>
      </c>
      <c r="E277" s="53">
        <v>2</v>
      </c>
      <c r="F277" s="11">
        <f>SUM(DistMeetingQuota[[#This Row],[Sep]:[Feb]])</f>
        <v>0</v>
      </c>
      <c r="G277" s="11">
        <f>DistMeetingQuota[[#This Row],[Quota]]-DistMeetingQuota[[#This Row],[Actual]]</f>
        <v>2</v>
      </c>
      <c r="H277" s="49">
        <f>DistMeetingQuota[[#This Row],[Actual]]/DistMeetingQuota[[#This Row],[Quota]]</f>
        <v>0</v>
      </c>
      <c r="I277" s="4"/>
      <c r="J277" s="2"/>
      <c r="K277" s="2"/>
      <c r="L277" s="2"/>
      <c r="M277" s="2"/>
      <c r="N277" s="2"/>
      <c r="O277" s="2"/>
      <c r="P277" s="4" t="s">
        <v>62</v>
      </c>
      <c r="Q277" s="2"/>
    </row>
    <row r="278" spans="1:17" s="109" customFormat="1" ht="30">
      <c r="A278" s="4">
        <v>2112519</v>
      </c>
      <c r="B278" s="5" t="s">
        <v>233</v>
      </c>
      <c r="C278" s="4" t="s">
        <v>286</v>
      </c>
      <c r="D278" s="4" t="s">
        <v>11</v>
      </c>
      <c r="E278" s="53">
        <v>2</v>
      </c>
      <c r="F278" s="11">
        <f>SUM(DistMeetingQuota[[#This Row],[Sep]:[Feb]])</f>
        <v>0</v>
      </c>
      <c r="G278" s="11">
        <f>DistMeetingQuota[[#This Row],[Quota]]-DistMeetingQuota[[#This Row],[Actual]]</f>
        <v>2</v>
      </c>
      <c r="H278" s="49">
        <f>DistMeetingQuota[[#This Row],[Actual]]/DistMeetingQuota[[#This Row],[Quota]]</f>
        <v>0</v>
      </c>
      <c r="I278" s="4"/>
      <c r="J278" s="2"/>
      <c r="K278" s="2"/>
      <c r="L278" s="2"/>
      <c r="M278" s="2"/>
      <c r="N278" s="2"/>
      <c r="O278" s="2"/>
      <c r="P278" s="4" t="s">
        <v>14</v>
      </c>
      <c r="Q278" s="2"/>
    </row>
    <row r="279" spans="1:17" s="109" customFormat="1" ht="30">
      <c r="A279" s="4">
        <v>2021160</v>
      </c>
      <c r="B279" s="5" t="s">
        <v>234</v>
      </c>
      <c r="C279" s="4" t="s">
        <v>21</v>
      </c>
      <c r="D279" s="4" t="s">
        <v>11</v>
      </c>
      <c r="E279" s="53">
        <v>3</v>
      </c>
      <c r="F279" s="11">
        <f>SUM(DistMeetingQuota[[#This Row],[Sep]:[Feb]])</f>
        <v>3</v>
      </c>
      <c r="G279" s="11">
        <f>DistMeetingQuota[[#This Row],[Quota]]-DistMeetingQuota[[#This Row],[Actual]]</f>
        <v>0</v>
      </c>
      <c r="H279" s="49">
        <f>DistMeetingQuota[[#This Row],[Actual]]/DistMeetingQuota[[#This Row],[Quota]]</f>
        <v>1</v>
      </c>
      <c r="I279" s="4"/>
      <c r="J279" s="2"/>
      <c r="K279" s="2"/>
      <c r="L279" s="2">
        <v>2</v>
      </c>
      <c r="M279" s="2">
        <v>1</v>
      </c>
      <c r="N279" s="2"/>
      <c r="O279" s="2"/>
      <c r="P279" s="4" t="s">
        <v>10</v>
      </c>
      <c r="Q279" s="2"/>
    </row>
    <row r="280" spans="1:17" s="109" customFormat="1" ht="30">
      <c r="A280" s="4">
        <v>2021160</v>
      </c>
      <c r="B280" s="5" t="s">
        <v>234</v>
      </c>
      <c r="C280" s="4" t="s">
        <v>21</v>
      </c>
      <c r="D280" s="4" t="s">
        <v>13</v>
      </c>
      <c r="E280" s="53">
        <v>2</v>
      </c>
      <c r="F280" s="11">
        <f>SUM(DistMeetingQuota[[#This Row],[Sep]:[Feb]])</f>
        <v>1</v>
      </c>
      <c r="G280" s="11">
        <f>DistMeetingQuota[[#This Row],[Quota]]-DistMeetingQuota[[#This Row],[Actual]]</f>
        <v>1</v>
      </c>
      <c r="H280" s="49">
        <f>DistMeetingQuota[[#This Row],[Actual]]/DistMeetingQuota[[#This Row],[Quota]]</f>
        <v>0.5</v>
      </c>
      <c r="I280" s="4"/>
      <c r="J280" s="2"/>
      <c r="K280" s="2">
        <v>1</v>
      </c>
      <c r="L280" s="2"/>
      <c r="M280" s="2"/>
      <c r="N280" s="2"/>
      <c r="O280" s="2"/>
      <c r="P280" s="4" t="s">
        <v>10</v>
      </c>
      <c r="Q280" s="2"/>
    </row>
    <row r="281" spans="1:17" s="109" customFormat="1">
      <c r="A281" s="77">
        <v>2093399</v>
      </c>
      <c r="B281" s="5" t="s">
        <v>235</v>
      </c>
      <c r="C281" s="4" t="s">
        <v>286</v>
      </c>
      <c r="D281" s="4" t="s">
        <v>11</v>
      </c>
      <c r="E281" s="53">
        <v>2</v>
      </c>
      <c r="F281" s="11">
        <f>SUM(DistMeetingQuota[[#This Row],[Sep]:[Feb]])</f>
        <v>0</v>
      </c>
      <c r="G281" s="11">
        <f>DistMeetingQuota[[#This Row],[Quota]]-DistMeetingQuota[[#This Row],[Actual]]</f>
        <v>2</v>
      </c>
      <c r="H281" s="49">
        <f>DistMeetingQuota[[#This Row],[Actual]]/DistMeetingQuota[[#This Row],[Quota]]</f>
        <v>0</v>
      </c>
      <c r="I281" s="4"/>
      <c r="J281" s="2"/>
      <c r="K281" s="2"/>
      <c r="L281" s="2"/>
      <c r="M281" s="2"/>
      <c r="N281" s="2"/>
      <c r="O281" s="2"/>
      <c r="P281" s="4" t="s">
        <v>10</v>
      </c>
      <c r="Q281" s="2"/>
    </row>
    <row r="282" spans="1:17" s="109" customFormat="1">
      <c r="A282" s="4">
        <v>2009738</v>
      </c>
      <c r="B282" s="5" t="s">
        <v>236</v>
      </c>
      <c r="C282" s="4" t="s">
        <v>286</v>
      </c>
      <c r="D282" s="4" t="s">
        <v>11</v>
      </c>
      <c r="E282" s="53">
        <v>2</v>
      </c>
      <c r="F282" s="11">
        <f>SUM(DistMeetingQuota[[#This Row],[Sep]:[Feb]])</f>
        <v>0</v>
      </c>
      <c r="G282" s="11">
        <f>DistMeetingQuota[[#This Row],[Quota]]-DistMeetingQuota[[#This Row],[Actual]]</f>
        <v>2</v>
      </c>
      <c r="H282" s="49">
        <f>DistMeetingQuota[[#This Row],[Actual]]/DistMeetingQuota[[#This Row],[Quota]]</f>
        <v>0</v>
      </c>
      <c r="I282" s="4"/>
      <c r="J282" s="2"/>
      <c r="K282" s="2"/>
      <c r="L282" s="2"/>
      <c r="M282" s="2"/>
      <c r="N282" s="2"/>
      <c r="O282" s="2"/>
      <c r="P282" s="4" t="s">
        <v>10</v>
      </c>
      <c r="Q282" s="2"/>
    </row>
    <row r="283" spans="1:17" s="109" customFormat="1" ht="30">
      <c r="A283" s="4">
        <v>2125897</v>
      </c>
      <c r="B283" s="5" t="s">
        <v>237</v>
      </c>
      <c r="C283" s="4" t="s">
        <v>286</v>
      </c>
      <c r="D283" s="4" t="s">
        <v>11</v>
      </c>
      <c r="E283" s="53">
        <v>2</v>
      </c>
      <c r="F283" s="11">
        <f>SUM(DistMeetingQuota[[#This Row],[Sep]:[Feb]])</f>
        <v>0</v>
      </c>
      <c r="G283" s="11">
        <f>DistMeetingQuota[[#This Row],[Quota]]-DistMeetingQuota[[#This Row],[Actual]]</f>
        <v>2</v>
      </c>
      <c r="H283" s="49">
        <f>DistMeetingQuota[[#This Row],[Actual]]/DistMeetingQuota[[#This Row],[Quota]]</f>
        <v>0</v>
      </c>
      <c r="I283" s="4"/>
      <c r="J283" s="2"/>
      <c r="K283" s="2"/>
      <c r="L283" s="2"/>
      <c r="M283" s="2"/>
      <c r="N283" s="2"/>
      <c r="O283" s="2"/>
      <c r="P283" s="4" t="s">
        <v>14</v>
      </c>
      <c r="Q283" s="2"/>
    </row>
    <row r="284" spans="1:17" s="154" customFormat="1" ht="30">
      <c r="A284" s="147">
        <v>2136429</v>
      </c>
      <c r="B284" s="148" t="s">
        <v>238</v>
      </c>
      <c r="C284" s="147" t="s">
        <v>36</v>
      </c>
      <c r="D284" s="147" t="s">
        <v>11</v>
      </c>
      <c r="E284" s="150">
        <v>0</v>
      </c>
      <c r="F284" s="157">
        <f>SUM(DistMeetingQuota[[#This Row],[Sep]:[Feb]])</f>
        <v>0</v>
      </c>
      <c r="G284" s="157">
        <f>DistMeetingQuota[[#This Row],[Quota]]-DistMeetingQuota[[#This Row],[Actual]]</f>
        <v>0</v>
      </c>
      <c r="H284" s="158" t="e">
        <f>DistMeetingQuota[[#This Row],[Actual]]/DistMeetingQuota[[#This Row],[Quota]]</f>
        <v>#DIV/0!</v>
      </c>
      <c r="I284" s="147"/>
      <c r="J284" s="152"/>
      <c r="K284" s="152"/>
      <c r="L284" s="152"/>
      <c r="M284" s="152"/>
      <c r="N284" s="152"/>
      <c r="O284" s="152" t="s">
        <v>900</v>
      </c>
      <c r="P284" s="147" t="s">
        <v>14</v>
      </c>
      <c r="Q284" s="152"/>
    </row>
    <row r="285" spans="1:17" s="109" customFormat="1">
      <c r="A285" s="4">
        <v>2101255</v>
      </c>
      <c r="B285" s="5" t="s">
        <v>239</v>
      </c>
      <c r="C285" s="4" t="s">
        <v>286</v>
      </c>
      <c r="D285" s="4" t="s">
        <v>11</v>
      </c>
      <c r="E285" s="53">
        <v>2</v>
      </c>
      <c r="F285" s="11">
        <f>SUM(DistMeetingQuota[[#This Row],[Sep]:[Feb]])</f>
        <v>0</v>
      </c>
      <c r="G285" s="11">
        <f>DistMeetingQuota[[#This Row],[Quota]]-DistMeetingQuota[[#This Row],[Actual]]</f>
        <v>2</v>
      </c>
      <c r="H285" s="49">
        <f>DistMeetingQuota[[#This Row],[Actual]]/DistMeetingQuota[[#This Row],[Quota]]</f>
        <v>0</v>
      </c>
      <c r="I285" s="4"/>
      <c r="J285" s="2"/>
      <c r="K285" s="2"/>
      <c r="L285" s="2"/>
      <c r="M285" s="2"/>
      <c r="N285" s="2"/>
      <c r="O285" s="2"/>
      <c r="P285" s="4" t="s">
        <v>57</v>
      </c>
      <c r="Q285" s="2"/>
    </row>
    <row r="286" spans="1:17" s="109" customFormat="1" ht="30">
      <c r="A286" s="4">
        <v>2041697</v>
      </c>
      <c r="B286" s="5" t="s">
        <v>240</v>
      </c>
      <c r="C286" s="4" t="s">
        <v>36</v>
      </c>
      <c r="D286" s="4" t="s">
        <v>11</v>
      </c>
      <c r="E286" s="53">
        <v>2</v>
      </c>
      <c r="F286" s="11">
        <f>SUM(DistMeetingQuota[[#This Row],[Sep]:[Feb]])</f>
        <v>2</v>
      </c>
      <c r="G286" s="11">
        <f>DistMeetingQuota[[#This Row],[Quota]]-DistMeetingQuota[[#This Row],[Actual]]</f>
        <v>0</v>
      </c>
      <c r="H286" s="49">
        <f>DistMeetingQuota[[#This Row],[Actual]]/DistMeetingQuota[[#This Row],[Quota]]</f>
        <v>1</v>
      </c>
      <c r="I286" s="4"/>
      <c r="J286" s="2"/>
      <c r="K286" s="2"/>
      <c r="L286" s="2">
        <v>2</v>
      </c>
      <c r="M286" s="2"/>
      <c r="N286" s="2"/>
      <c r="O286" s="2"/>
      <c r="P286" s="4" t="s">
        <v>14</v>
      </c>
      <c r="Q286" s="2"/>
    </row>
    <row r="287" spans="1:17" s="109" customFormat="1" ht="30">
      <c r="A287" s="4">
        <v>2079558</v>
      </c>
      <c r="B287" s="5" t="s">
        <v>241</v>
      </c>
      <c r="C287" s="4" t="s">
        <v>286</v>
      </c>
      <c r="D287" s="4" t="s">
        <v>11</v>
      </c>
      <c r="E287" s="53">
        <v>2</v>
      </c>
      <c r="F287" s="11">
        <f>SUM(DistMeetingQuota[[#This Row],[Sep]:[Feb]])</f>
        <v>0</v>
      </c>
      <c r="G287" s="11">
        <f>DistMeetingQuota[[#This Row],[Quota]]-DistMeetingQuota[[#This Row],[Actual]]</f>
        <v>2</v>
      </c>
      <c r="H287" s="49">
        <f>DistMeetingQuota[[#This Row],[Actual]]/DistMeetingQuota[[#This Row],[Quota]]</f>
        <v>0</v>
      </c>
      <c r="I287" s="4"/>
      <c r="J287" s="2"/>
      <c r="K287" s="2"/>
      <c r="L287" s="2"/>
      <c r="M287" s="2"/>
      <c r="N287" s="2"/>
      <c r="O287" s="2"/>
      <c r="P287" s="4" t="s">
        <v>4</v>
      </c>
      <c r="Q287" s="2"/>
    </row>
    <row r="288" spans="1:17" s="109" customFormat="1" ht="30">
      <c r="A288" s="4">
        <v>2079558</v>
      </c>
      <c r="B288" s="5" t="s">
        <v>241</v>
      </c>
      <c r="C288" s="4" t="s">
        <v>286</v>
      </c>
      <c r="D288" s="4" t="s">
        <v>5</v>
      </c>
      <c r="E288" s="53">
        <v>24</v>
      </c>
      <c r="F288" s="11">
        <f>SUM(DistMeetingQuota[[#This Row],[Sep]:[Feb]])</f>
        <v>0</v>
      </c>
      <c r="G288" s="11">
        <f>DistMeetingQuota[[#This Row],[Quota]]-DistMeetingQuota[[#This Row],[Actual]]</f>
        <v>24</v>
      </c>
      <c r="H288" s="49">
        <f>DistMeetingQuota[[#This Row],[Actual]]/DistMeetingQuota[[#This Row],[Quota]]</f>
        <v>0</v>
      </c>
      <c r="I288" s="4"/>
      <c r="J288" s="2"/>
      <c r="K288" s="2"/>
      <c r="L288" s="2"/>
      <c r="M288" s="2"/>
      <c r="N288" s="2"/>
      <c r="O288" s="2"/>
      <c r="P288" s="4" t="s">
        <v>4</v>
      </c>
      <c r="Q288" s="2"/>
    </row>
    <row r="289" spans="1:17" s="109" customFormat="1" ht="30">
      <c r="A289" s="4">
        <v>2153061</v>
      </c>
      <c r="B289" s="5" t="s">
        <v>242</v>
      </c>
      <c r="C289" s="4" t="s">
        <v>36</v>
      </c>
      <c r="D289" s="4" t="s">
        <v>11</v>
      </c>
      <c r="E289" s="53">
        <v>2</v>
      </c>
      <c r="F289" s="11">
        <f>SUM(DistMeetingQuota[[#This Row],[Sep]:[Feb]])</f>
        <v>0</v>
      </c>
      <c r="G289" s="11">
        <f>DistMeetingQuota[[#This Row],[Quota]]-DistMeetingQuota[[#This Row],[Actual]]</f>
        <v>2</v>
      </c>
      <c r="H289" s="49">
        <f>DistMeetingQuota[[#This Row],[Actual]]/DistMeetingQuota[[#This Row],[Quota]]</f>
        <v>0</v>
      </c>
      <c r="I289" s="4"/>
      <c r="J289" s="2"/>
      <c r="K289" s="2"/>
      <c r="L289" s="2"/>
      <c r="M289" s="2"/>
      <c r="N289" s="2"/>
      <c r="O289" s="2"/>
      <c r="P289" s="4" t="s">
        <v>14</v>
      </c>
      <c r="Q289" s="2"/>
    </row>
    <row r="290" spans="1:17" s="109" customFormat="1">
      <c r="A290" s="4">
        <v>2133342</v>
      </c>
      <c r="B290" s="5" t="s">
        <v>243</v>
      </c>
      <c r="C290" s="4" t="s">
        <v>36</v>
      </c>
      <c r="D290" s="4" t="s">
        <v>11</v>
      </c>
      <c r="E290" s="53">
        <v>2</v>
      </c>
      <c r="F290" s="11">
        <f>SUM(DistMeetingQuota[[#This Row],[Sep]:[Feb]])</f>
        <v>0</v>
      </c>
      <c r="G290" s="11">
        <f>DistMeetingQuota[[#This Row],[Quota]]-DistMeetingQuota[[#This Row],[Actual]]</f>
        <v>2</v>
      </c>
      <c r="H290" s="49">
        <f>DistMeetingQuota[[#This Row],[Actual]]/DistMeetingQuota[[#This Row],[Quota]]</f>
        <v>0</v>
      </c>
      <c r="I290" s="4"/>
      <c r="J290" s="2"/>
      <c r="K290" s="2"/>
      <c r="L290" s="2"/>
      <c r="M290" s="2"/>
      <c r="N290" s="2"/>
      <c r="O290" s="2"/>
      <c r="P290" s="4" t="s">
        <v>6</v>
      </c>
      <c r="Q290" s="2"/>
    </row>
    <row r="291" spans="1:17" s="109" customFormat="1" ht="30">
      <c r="A291" s="4">
        <v>2020680</v>
      </c>
      <c r="B291" s="5" t="s">
        <v>244</v>
      </c>
      <c r="C291" s="4" t="s">
        <v>286</v>
      </c>
      <c r="D291" s="4" t="s">
        <v>11</v>
      </c>
      <c r="E291" s="53">
        <v>2</v>
      </c>
      <c r="F291" s="11">
        <f>SUM(DistMeetingQuota[[#This Row],[Sep]:[Feb]])</f>
        <v>0</v>
      </c>
      <c r="G291" s="11">
        <f>DistMeetingQuota[[#This Row],[Quota]]-DistMeetingQuota[[#This Row],[Actual]]</f>
        <v>2</v>
      </c>
      <c r="H291" s="49">
        <f>DistMeetingQuota[[#This Row],[Actual]]/DistMeetingQuota[[#This Row],[Quota]]</f>
        <v>0</v>
      </c>
      <c r="I291" s="4"/>
      <c r="J291" s="2"/>
      <c r="K291" s="2"/>
      <c r="L291" s="2"/>
      <c r="M291" s="2"/>
      <c r="N291" s="2"/>
      <c r="O291" s="2"/>
      <c r="P291" s="4" t="s">
        <v>10</v>
      </c>
      <c r="Q291" s="2"/>
    </row>
    <row r="292" spans="1:17" s="109" customFormat="1">
      <c r="A292" s="4">
        <v>2130026</v>
      </c>
      <c r="B292" s="5" t="s">
        <v>245</v>
      </c>
      <c r="C292" s="4" t="s">
        <v>286</v>
      </c>
      <c r="D292" s="4" t="s">
        <v>11</v>
      </c>
      <c r="E292" s="53">
        <v>2</v>
      </c>
      <c r="F292" s="11">
        <f>SUM(DistMeetingQuota[[#This Row],[Sep]:[Feb]])</f>
        <v>0</v>
      </c>
      <c r="G292" s="11">
        <f>DistMeetingQuota[[#This Row],[Quota]]-DistMeetingQuota[[#This Row],[Actual]]</f>
        <v>2</v>
      </c>
      <c r="H292" s="49">
        <f>DistMeetingQuota[[#This Row],[Actual]]/DistMeetingQuota[[#This Row],[Quota]]</f>
        <v>0</v>
      </c>
      <c r="I292" s="4"/>
      <c r="J292" s="2"/>
      <c r="K292" s="2"/>
      <c r="L292" s="2"/>
      <c r="M292" s="2"/>
      <c r="N292" s="2"/>
      <c r="O292" s="2"/>
      <c r="P292" s="4" t="s">
        <v>14</v>
      </c>
      <c r="Q292" s="2"/>
    </row>
    <row r="293" spans="1:17" s="109" customFormat="1">
      <c r="A293" s="4">
        <v>2114170</v>
      </c>
      <c r="B293" s="5" t="s">
        <v>246</v>
      </c>
      <c r="C293" s="4" t="s">
        <v>286</v>
      </c>
      <c r="D293" s="4" t="s">
        <v>11</v>
      </c>
      <c r="E293" s="53">
        <v>2</v>
      </c>
      <c r="F293" s="11">
        <f>SUM(DistMeetingQuota[[#This Row],[Sep]:[Feb]])</f>
        <v>0</v>
      </c>
      <c r="G293" s="11">
        <f>DistMeetingQuota[[#This Row],[Quota]]-DistMeetingQuota[[#This Row],[Actual]]</f>
        <v>2</v>
      </c>
      <c r="H293" s="49">
        <f>DistMeetingQuota[[#This Row],[Actual]]/DistMeetingQuota[[#This Row],[Quota]]</f>
        <v>0</v>
      </c>
      <c r="I293" s="4"/>
      <c r="J293" s="2"/>
      <c r="K293" s="2"/>
      <c r="L293" s="2"/>
      <c r="M293" s="2"/>
      <c r="N293" s="2"/>
      <c r="O293" s="2"/>
      <c r="P293" s="4" t="s">
        <v>14</v>
      </c>
      <c r="Q293" s="2"/>
    </row>
    <row r="294" spans="1:17" s="109" customFormat="1" ht="30">
      <c r="A294" s="4">
        <v>2046689</v>
      </c>
      <c r="B294" s="5" t="s">
        <v>247</v>
      </c>
      <c r="C294" s="4" t="s">
        <v>286</v>
      </c>
      <c r="D294" s="4" t="s">
        <v>11</v>
      </c>
      <c r="E294" s="53">
        <v>2</v>
      </c>
      <c r="F294" s="11">
        <f>SUM(DistMeetingQuota[[#This Row],[Sep]:[Feb]])</f>
        <v>0</v>
      </c>
      <c r="G294" s="11">
        <f>DistMeetingQuota[[#This Row],[Quota]]-DistMeetingQuota[[#This Row],[Actual]]</f>
        <v>2</v>
      </c>
      <c r="H294" s="49">
        <f>DistMeetingQuota[[#This Row],[Actual]]/DistMeetingQuota[[#This Row],[Quota]]</f>
        <v>0</v>
      </c>
      <c r="I294" s="4"/>
      <c r="J294" s="2"/>
      <c r="K294" s="2"/>
      <c r="L294" s="2"/>
      <c r="M294" s="2"/>
      <c r="N294" s="2"/>
      <c r="O294" s="2"/>
      <c r="P294" s="4" t="s">
        <v>497</v>
      </c>
      <c r="Q294" s="2"/>
    </row>
    <row r="295" spans="1:17" s="109" customFormat="1">
      <c r="A295" s="4">
        <v>2135604</v>
      </c>
      <c r="B295" s="5" t="s">
        <v>248</v>
      </c>
      <c r="C295" s="4" t="s">
        <v>286</v>
      </c>
      <c r="D295" s="4" t="s">
        <v>11</v>
      </c>
      <c r="E295" s="53">
        <v>2</v>
      </c>
      <c r="F295" s="11">
        <f>SUM(DistMeetingQuota[[#This Row],[Sep]:[Feb]])</f>
        <v>0</v>
      </c>
      <c r="G295" s="11">
        <f>DistMeetingQuota[[#This Row],[Quota]]-DistMeetingQuota[[#This Row],[Actual]]</f>
        <v>2</v>
      </c>
      <c r="H295" s="49">
        <f>DistMeetingQuota[[#This Row],[Actual]]/DistMeetingQuota[[#This Row],[Quota]]</f>
        <v>0</v>
      </c>
      <c r="I295" s="4"/>
      <c r="J295" s="2"/>
      <c r="K295" s="2"/>
      <c r="L295" s="2"/>
      <c r="M295" s="2"/>
      <c r="N295" s="2"/>
      <c r="O295" s="2"/>
      <c r="P295" s="4" t="s">
        <v>64</v>
      </c>
      <c r="Q295" s="2"/>
    </row>
    <row r="296" spans="1:17" s="109" customFormat="1">
      <c r="A296" s="4">
        <v>2135604</v>
      </c>
      <c r="B296" s="5" t="s">
        <v>248</v>
      </c>
      <c r="C296" s="4" t="s">
        <v>286</v>
      </c>
      <c r="D296" s="4" t="s">
        <v>5</v>
      </c>
      <c r="E296" s="53">
        <v>24</v>
      </c>
      <c r="F296" s="11">
        <f>SUM(DistMeetingQuota[[#This Row],[Sep]:[Feb]])</f>
        <v>0</v>
      </c>
      <c r="G296" s="11">
        <f>DistMeetingQuota[[#This Row],[Quota]]-DistMeetingQuota[[#This Row],[Actual]]</f>
        <v>24</v>
      </c>
      <c r="H296" s="49">
        <f>DistMeetingQuota[[#This Row],[Actual]]/DistMeetingQuota[[#This Row],[Quota]]</f>
        <v>0</v>
      </c>
      <c r="I296" s="4"/>
      <c r="J296" s="2"/>
      <c r="K296" s="2"/>
      <c r="L296" s="2"/>
      <c r="M296" s="2"/>
      <c r="N296" s="2"/>
      <c r="O296" s="2"/>
      <c r="P296" s="4" t="s">
        <v>64</v>
      </c>
      <c r="Q296" s="2"/>
    </row>
    <row r="297" spans="1:17" s="109" customFormat="1" ht="30">
      <c r="A297" s="4">
        <v>2109283</v>
      </c>
      <c r="B297" s="5" t="s">
        <v>249</v>
      </c>
      <c r="C297" s="4" t="s">
        <v>286</v>
      </c>
      <c r="D297" s="4" t="s">
        <v>11</v>
      </c>
      <c r="E297" s="53">
        <v>2</v>
      </c>
      <c r="F297" s="11">
        <f>SUM(DistMeetingQuota[[#This Row],[Sep]:[Feb]])</f>
        <v>0</v>
      </c>
      <c r="G297" s="11">
        <f>DistMeetingQuota[[#This Row],[Quota]]-DistMeetingQuota[[#This Row],[Actual]]</f>
        <v>2</v>
      </c>
      <c r="H297" s="49">
        <f>DistMeetingQuota[[#This Row],[Actual]]/DistMeetingQuota[[#This Row],[Quota]]</f>
        <v>0</v>
      </c>
      <c r="I297" s="4"/>
      <c r="J297" s="2"/>
      <c r="K297" s="2"/>
      <c r="L297" s="2"/>
      <c r="M297" s="2"/>
      <c r="N297" s="2"/>
      <c r="O297" s="2"/>
      <c r="P297" s="4" t="s">
        <v>498</v>
      </c>
      <c r="Q297" s="2"/>
    </row>
    <row r="298" spans="1:17" s="109" customFormat="1" ht="30">
      <c r="A298" s="4">
        <v>2087357</v>
      </c>
      <c r="B298" s="5" t="s">
        <v>250</v>
      </c>
      <c r="C298" s="4" t="s">
        <v>286</v>
      </c>
      <c r="D298" s="4" t="s">
        <v>11</v>
      </c>
      <c r="E298" s="53">
        <v>2</v>
      </c>
      <c r="F298" s="11">
        <f>SUM(DistMeetingQuota[[#This Row],[Sep]:[Feb]])</f>
        <v>0</v>
      </c>
      <c r="G298" s="11">
        <f>DistMeetingQuota[[#This Row],[Quota]]-DistMeetingQuota[[#This Row],[Actual]]</f>
        <v>2</v>
      </c>
      <c r="H298" s="49">
        <f>DistMeetingQuota[[#This Row],[Actual]]/DistMeetingQuota[[#This Row],[Quota]]</f>
        <v>0</v>
      </c>
      <c r="I298" s="4"/>
      <c r="J298" s="2"/>
      <c r="K298" s="2"/>
      <c r="L298" s="2"/>
      <c r="M298" s="2"/>
      <c r="N298" s="2"/>
      <c r="O298" s="2"/>
      <c r="P298" s="4" t="s">
        <v>14</v>
      </c>
      <c r="Q298" s="2"/>
    </row>
    <row r="299" spans="1:17" s="109" customFormat="1">
      <c r="A299" s="4">
        <v>2020153</v>
      </c>
      <c r="B299" s="5" t="s">
        <v>251</v>
      </c>
      <c r="C299" s="4" t="s">
        <v>286</v>
      </c>
      <c r="D299" s="4" t="s">
        <v>11</v>
      </c>
      <c r="E299" s="53">
        <v>2</v>
      </c>
      <c r="F299" s="11">
        <f>SUM(DistMeetingQuota[[#This Row],[Sep]:[Feb]])</f>
        <v>0</v>
      </c>
      <c r="G299" s="11">
        <f>DistMeetingQuota[[#This Row],[Quota]]-DistMeetingQuota[[#This Row],[Actual]]</f>
        <v>2</v>
      </c>
      <c r="H299" s="49">
        <f>DistMeetingQuota[[#This Row],[Actual]]/DistMeetingQuota[[#This Row],[Quota]]</f>
        <v>0</v>
      </c>
      <c r="I299" s="4"/>
      <c r="J299" s="2"/>
      <c r="K299" s="2"/>
      <c r="L299" s="2"/>
      <c r="M299" s="2"/>
      <c r="N299" s="2"/>
      <c r="O299" s="2"/>
      <c r="P299" s="4" t="s">
        <v>10</v>
      </c>
      <c r="Q299" s="2"/>
    </row>
    <row r="300" spans="1:17" s="109" customFormat="1" ht="30">
      <c r="A300" s="4">
        <v>2022468</v>
      </c>
      <c r="B300" s="5" t="s">
        <v>252</v>
      </c>
      <c r="C300" s="4" t="s">
        <v>21</v>
      </c>
      <c r="D300" s="4" t="s">
        <v>11</v>
      </c>
      <c r="E300" s="53">
        <v>1</v>
      </c>
      <c r="F300" s="11">
        <f>SUM(DistMeetingQuota[[#This Row],[Sep]:[Feb]])</f>
        <v>1</v>
      </c>
      <c r="G300" s="11">
        <f>DistMeetingQuota[[#This Row],[Quota]]-DistMeetingQuota[[#This Row],[Actual]]</f>
        <v>0</v>
      </c>
      <c r="H300" s="49">
        <f>DistMeetingQuota[[#This Row],[Actual]]/DistMeetingQuota[[#This Row],[Quota]]</f>
        <v>1</v>
      </c>
      <c r="I300" s="4"/>
      <c r="J300" s="2"/>
      <c r="K300" s="2"/>
      <c r="L300" s="2">
        <v>1</v>
      </c>
      <c r="M300" s="2"/>
      <c r="N300" s="2"/>
      <c r="O300" s="2"/>
      <c r="P300" s="4" t="s">
        <v>10</v>
      </c>
      <c r="Q300" s="2"/>
    </row>
    <row r="301" spans="1:17" s="109" customFormat="1" ht="30">
      <c r="A301" s="4">
        <v>2022468</v>
      </c>
      <c r="B301" s="5" t="s">
        <v>252</v>
      </c>
      <c r="C301" s="4" t="s">
        <v>286</v>
      </c>
      <c r="D301" s="4" t="s">
        <v>11</v>
      </c>
      <c r="E301" s="53">
        <v>2</v>
      </c>
      <c r="F301" s="11">
        <f>SUM(DistMeetingQuota[[#This Row],[Sep]:[Feb]])</f>
        <v>2</v>
      </c>
      <c r="G301" s="11">
        <f>DistMeetingQuota[[#This Row],[Quota]]-DistMeetingQuota[[#This Row],[Actual]]</f>
        <v>0</v>
      </c>
      <c r="H301" s="49">
        <f>DistMeetingQuota[[#This Row],[Actual]]/DistMeetingQuota[[#This Row],[Quota]]</f>
        <v>1</v>
      </c>
      <c r="I301" s="4">
        <v>2</v>
      </c>
      <c r="J301" s="2"/>
      <c r="K301" s="2"/>
      <c r="L301" s="2"/>
      <c r="M301" s="2"/>
      <c r="N301" s="2"/>
      <c r="O301" s="2"/>
      <c r="P301" s="4" t="s">
        <v>10</v>
      </c>
      <c r="Q301" s="2"/>
    </row>
    <row r="302" spans="1:17" s="109" customFormat="1" ht="30">
      <c r="A302" s="4">
        <v>2057300</v>
      </c>
      <c r="B302" s="5" t="s">
        <v>499</v>
      </c>
      <c r="C302" s="4" t="s">
        <v>21</v>
      </c>
      <c r="D302" s="4" t="s">
        <v>11</v>
      </c>
      <c r="E302" s="53">
        <v>3</v>
      </c>
      <c r="F302" s="11">
        <f>SUM(DistMeetingQuota[[#This Row],[Sep]:[Feb]])</f>
        <v>1</v>
      </c>
      <c r="G302" s="11">
        <f>DistMeetingQuota[[#This Row],[Quota]]-DistMeetingQuota[[#This Row],[Actual]]</f>
        <v>2</v>
      </c>
      <c r="H302" s="49">
        <f>DistMeetingQuota[[#This Row],[Actual]]/DistMeetingQuota[[#This Row],[Quota]]</f>
        <v>0.33333333333333331</v>
      </c>
      <c r="I302" s="4"/>
      <c r="J302" s="2"/>
      <c r="K302" s="2"/>
      <c r="L302" s="2">
        <v>1</v>
      </c>
      <c r="M302" s="2"/>
      <c r="N302" s="2"/>
      <c r="O302" s="2"/>
      <c r="P302" s="4" t="s">
        <v>475</v>
      </c>
      <c r="Q302" s="2"/>
    </row>
    <row r="303" spans="1:17" s="109" customFormat="1" ht="30">
      <c r="A303" s="4">
        <v>2057300</v>
      </c>
      <c r="B303" s="5" t="s">
        <v>499</v>
      </c>
      <c r="C303" s="4" t="s">
        <v>21</v>
      </c>
      <c r="D303" s="4" t="s">
        <v>13</v>
      </c>
      <c r="E303" s="53">
        <v>2</v>
      </c>
      <c r="F303" s="11">
        <f>SUM(DistMeetingQuota[[#This Row],[Sep]:[Feb]])</f>
        <v>0</v>
      </c>
      <c r="G303" s="11">
        <f>DistMeetingQuota[[#This Row],[Quota]]-DistMeetingQuota[[#This Row],[Actual]]</f>
        <v>2</v>
      </c>
      <c r="H303" s="49">
        <f>DistMeetingQuota[[#This Row],[Actual]]/DistMeetingQuota[[#This Row],[Quota]]</f>
        <v>0</v>
      </c>
      <c r="I303" s="4"/>
      <c r="J303" s="2"/>
      <c r="K303" s="2"/>
      <c r="L303" s="2"/>
      <c r="M303" s="2"/>
      <c r="N303" s="2"/>
      <c r="O303" s="2"/>
      <c r="P303" s="4" t="s">
        <v>475</v>
      </c>
      <c r="Q303" s="2"/>
    </row>
    <row r="304" spans="1:17" s="109" customFormat="1" ht="30">
      <c r="A304" s="4">
        <v>2119875</v>
      </c>
      <c r="B304" s="5" t="s">
        <v>253</v>
      </c>
      <c r="C304" s="4" t="s">
        <v>286</v>
      </c>
      <c r="D304" s="4" t="s">
        <v>11</v>
      </c>
      <c r="E304" s="53">
        <v>2</v>
      </c>
      <c r="F304" s="11">
        <f>SUM(DistMeetingQuota[[#This Row],[Sep]:[Feb]])</f>
        <v>0</v>
      </c>
      <c r="G304" s="11">
        <f>DistMeetingQuota[[#This Row],[Quota]]-DistMeetingQuota[[#This Row],[Actual]]</f>
        <v>2</v>
      </c>
      <c r="H304" s="49">
        <f>DistMeetingQuota[[#This Row],[Actual]]/DistMeetingQuota[[#This Row],[Quota]]</f>
        <v>0</v>
      </c>
      <c r="I304" s="4"/>
      <c r="J304" s="2"/>
      <c r="K304" s="2"/>
      <c r="L304" s="2"/>
      <c r="M304" s="2"/>
      <c r="N304" s="2"/>
      <c r="O304" s="2"/>
      <c r="P304" s="4" t="s">
        <v>14</v>
      </c>
      <c r="Q304" s="2"/>
    </row>
    <row r="305" spans="1:17" s="109" customFormat="1">
      <c r="A305" s="4">
        <v>2034552</v>
      </c>
      <c r="B305" s="5" t="s">
        <v>254</v>
      </c>
      <c r="C305" s="4" t="s">
        <v>286</v>
      </c>
      <c r="D305" s="4" t="s">
        <v>11</v>
      </c>
      <c r="E305" s="53">
        <v>2</v>
      </c>
      <c r="F305" s="11">
        <f>SUM(DistMeetingQuota[[#This Row],[Sep]:[Feb]])</f>
        <v>0</v>
      </c>
      <c r="G305" s="11">
        <f>DistMeetingQuota[[#This Row],[Quota]]-DistMeetingQuota[[#This Row],[Actual]]</f>
        <v>2</v>
      </c>
      <c r="H305" s="49">
        <f>DistMeetingQuota[[#This Row],[Actual]]/DistMeetingQuota[[#This Row],[Quota]]</f>
        <v>0</v>
      </c>
      <c r="I305" s="4"/>
      <c r="J305" s="2"/>
      <c r="K305" s="2"/>
      <c r="L305" s="2"/>
      <c r="M305" s="2"/>
      <c r="N305" s="2"/>
      <c r="O305" s="2"/>
      <c r="P305" s="4" t="s">
        <v>478</v>
      </c>
      <c r="Q305" s="2"/>
    </row>
    <row r="306" spans="1:17" s="109" customFormat="1">
      <c r="A306" s="4">
        <v>2034552</v>
      </c>
      <c r="B306" s="5" t="s">
        <v>254</v>
      </c>
      <c r="C306" s="4" t="s">
        <v>286</v>
      </c>
      <c r="D306" s="4" t="s">
        <v>5</v>
      </c>
      <c r="E306" s="53">
        <v>24</v>
      </c>
      <c r="F306" s="11">
        <f>SUM(DistMeetingQuota[[#This Row],[Sep]:[Feb]])</f>
        <v>0</v>
      </c>
      <c r="G306" s="11">
        <f>DistMeetingQuota[[#This Row],[Quota]]-DistMeetingQuota[[#This Row],[Actual]]</f>
        <v>24</v>
      </c>
      <c r="H306" s="49">
        <f>DistMeetingQuota[[#This Row],[Actual]]/DistMeetingQuota[[#This Row],[Quota]]</f>
        <v>0</v>
      </c>
      <c r="I306" s="4"/>
      <c r="J306" s="2"/>
      <c r="K306" s="2"/>
      <c r="L306" s="2"/>
      <c r="M306" s="2"/>
      <c r="N306" s="2"/>
      <c r="O306" s="2"/>
      <c r="P306" s="4" t="s">
        <v>478</v>
      </c>
      <c r="Q306" s="2"/>
    </row>
    <row r="307" spans="1:17" s="109" customFormat="1" ht="30">
      <c r="A307" s="4">
        <v>2112519</v>
      </c>
      <c r="B307" s="5" t="s">
        <v>233</v>
      </c>
      <c r="C307" s="4" t="s">
        <v>286</v>
      </c>
      <c r="D307" s="4" t="s">
        <v>11</v>
      </c>
      <c r="E307" s="53">
        <v>2</v>
      </c>
      <c r="F307" s="11">
        <f>SUM(DistMeetingQuota[[#This Row],[Sep]:[Feb]])</f>
        <v>0</v>
      </c>
      <c r="G307" s="11">
        <f>DistMeetingQuota[[#This Row],[Quota]]-DistMeetingQuota[[#This Row],[Actual]]</f>
        <v>2</v>
      </c>
      <c r="H307" s="49">
        <f>DistMeetingQuota[[#This Row],[Actual]]/DistMeetingQuota[[#This Row],[Quota]]</f>
        <v>0</v>
      </c>
      <c r="I307" s="4"/>
      <c r="J307" s="2"/>
      <c r="K307" s="2"/>
      <c r="L307" s="2"/>
      <c r="M307" s="2"/>
      <c r="N307" s="2"/>
      <c r="O307" s="2"/>
      <c r="P307" s="4" t="s">
        <v>14</v>
      </c>
      <c r="Q307" s="2"/>
    </row>
    <row r="308" spans="1:17" s="109" customFormat="1" ht="30">
      <c r="A308" s="4">
        <v>2015810</v>
      </c>
      <c r="B308" s="5" t="s">
        <v>255</v>
      </c>
      <c r="C308" s="4" t="s">
        <v>286</v>
      </c>
      <c r="D308" s="4" t="s">
        <v>11</v>
      </c>
      <c r="E308" s="53">
        <v>2</v>
      </c>
      <c r="F308" s="11">
        <f>SUM(DistMeetingQuota[[#This Row],[Sep]:[Feb]])</f>
        <v>1</v>
      </c>
      <c r="G308" s="11">
        <f>DistMeetingQuota[[#This Row],[Quota]]-DistMeetingQuota[[#This Row],[Actual]]</f>
        <v>1</v>
      </c>
      <c r="H308" s="49">
        <f>DistMeetingQuota[[#This Row],[Actual]]/DistMeetingQuota[[#This Row],[Quota]]</f>
        <v>0.5</v>
      </c>
      <c r="I308" s="4"/>
      <c r="J308" s="2"/>
      <c r="K308" s="2"/>
      <c r="L308" s="2"/>
      <c r="M308" s="2"/>
      <c r="N308" s="2">
        <v>1</v>
      </c>
      <c r="O308" s="2"/>
      <c r="P308" s="4" t="s">
        <v>10</v>
      </c>
      <c r="Q308" s="2"/>
    </row>
    <row r="309" spans="1:17" s="109" customFormat="1" ht="30">
      <c r="A309" s="4">
        <v>2009093</v>
      </c>
      <c r="B309" s="5" t="s">
        <v>256</v>
      </c>
      <c r="C309" s="4" t="s">
        <v>21</v>
      </c>
      <c r="D309" s="4" t="s">
        <v>11</v>
      </c>
      <c r="E309" s="53">
        <v>3</v>
      </c>
      <c r="F309" s="11">
        <f>SUM(DistMeetingQuota[[#This Row],[Sep]:[Feb]])</f>
        <v>0</v>
      </c>
      <c r="G309" s="11">
        <f>DistMeetingQuota[[#This Row],[Quota]]-DistMeetingQuota[[#This Row],[Actual]]</f>
        <v>3</v>
      </c>
      <c r="H309" s="49">
        <f>DistMeetingQuota[[#This Row],[Actual]]/DistMeetingQuota[[#This Row],[Quota]]</f>
        <v>0</v>
      </c>
      <c r="I309" s="4"/>
      <c r="J309" s="2"/>
      <c r="K309" s="2"/>
      <c r="L309" s="2"/>
      <c r="M309" s="2"/>
      <c r="N309" s="2"/>
      <c r="O309" s="4"/>
      <c r="P309" s="4" t="s">
        <v>10</v>
      </c>
      <c r="Q309" s="2"/>
    </row>
    <row r="310" spans="1:17" s="109" customFormat="1" ht="30">
      <c r="A310" s="4">
        <v>2009093</v>
      </c>
      <c r="B310" s="5" t="s">
        <v>256</v>
      </c>
      <c r="C310" s="4" t="s">
        <v>21</v>
      </c>
      <c r="D310" s="4" t="s">
        <v>13</v>
      </c>
      <c r="E310" s="53">
        <v>2</v>
      </c>
      <c r="F310" s="11">
        <f>SUM(DistMeetingQuota[[#This Row],[Sep]:[Feb]])</f>
        <v>2</v>
      </c>
      <c r="G310" s="11">
        <f>DistMeetingQuota[[#This Row],[Quota]]-DistMeetingQuota[[#This Row],[Actual]]</f>
        <v>0</v>
      </c>
      <c r="H310" s="49">
        <f>DistMeetingQuota[[#This Row],[Actual]]/DistMeetingQuota[[#This Row],[Quota]]</f>
        <v>1</v>
      </c>
      <c r="I310" s="4"/>
      <c r="J310" s="2">
        <v>1</v>
      </c>
      <c r="K310" s="2"/>
      <c r="L310" s="2">
        <v>1</v>
      </c>
      <c r="M310" s="2"/>
      <c r="N310" s="2"/>
      <c r="O310" s="2"/>
      <c r="P310" s="4" t="s">
        <v>10</v>
      </c>
      <c r="Q310" s="2"/>
    </row>
    <row r="311" spans="1:17" s="109" customFormat="1" ht="30">
      <c r="A311" s="4">
        <v>2064528</v>
      </c>
      <c r="B311" s="5" t="s">
        <v>257</v>
      </c>
      <c r="C311" s="4" t="s">
        <v>287</v>
      </c>
      <c r="D311" s="4" t="s">
        <v>11</v>
      </c>
      <c r="E311" s="53">
        <v>2</v>
      </c>
      <c r="F311" s="11">
        <f>SUM(DistMeetingQuota[[#This Row],[Sep]:[Feb]])</f>
        <v>0</v>
      </c>
      <c r="G311" s="11">
        <f>DistMeetingQuota[[#This Row],[Quota]]-DistMeetingQuota[[#This Row],[Actual]]</f>
        <v>2</v>
      </c>
      <c r="H311" s="49">
        <f>DistMeetingQuota[[#This Row],[Actual]]/DistMeetingQuota[[#This Row],[Quota]]</f>
        <v>0</v>
      </c>
      <c r="I311" s="4"/>
      <c r="J311" s="2"/>
      <c r="K311" s="2"/>
      <c r="L311" s="2"/>
      <c r="M311" s="2"/>
      <c r="N311" s="2"/>
      <c r="O311" s="2"/>
      <c r="P311" s="4" t="s">
        <v>478</v>
      </c>
      <c r="Q311" s="2"/>
    </row>
    <row r="312" spans="1:17" s="109" customFormat="1" ht="30">
      <c r="A312" s="4">
        <v>2064528</v>
      </c>
      <c r="B312" s="5" t="s">
        <v>257</v>
      </c>
      <c r="C312" s="4" t="s">
        <v>287</v>
      </c>
      <c r="D312" s="4" t="s">
        <v>5</v>
      </c>
      <c r="E312" s="53">
        <v>24</v>
      </c>
      <c r="F312" s="11">
        <f>SUM(DistMeetingQuota[[#This Row],[Sep]:[Feb]])</f>
        <v>0</v>
      </c>
      <c r="G312" s="11">
        <f>DistMeetingQuota[[#This Row],[Quota]]-DistMeetingQuota[[#This Row],[Actual]]</f>
        <v>24</v>
      </c>
      <c r="H312" s="49">
        <f>DistMeetingQuota[[#This Row],[Actual]]/DistMeetingQuota[[#This Row],[Quota]]</f>
        <v>0</v>
      </c>
      <c r="I312" s="4"/>
      <c r="J312" s="2"/>
      <c r="K312" s="2"/>
      <c r="L312" s="2"/>
      <c r="M312" s="2"/>
      <c r="N312" s="2"/>
      <c r="O312" s="2"/>
      <c r="P312" s="4" t="s">
        <v>478</v>
      </c>
      <c r="Q312" s="2"/>
    </row>
    <row r="313" spans="1:17" s="109" customFormat="1" ht="30">
      <c r="A313" s="4">
        <v>2047785</v>
      </c>
      <c r="B313" s="5" t="s">
        <v>258</v>
      </c>
      <c r="C313" s="4" t="s">
        <v>287</v>
      </c>
      <c r="D313" s="4" t="s">
        <v>11</v>
      </c>
      <c r="E313" s="53">
        <v>2</v>
      </c>
      <c r="F313" s="11">
        <f>SUM(DistMeetingQuota[[#This Row],[Sep]:[Feb]])</f>
        <v>0</v>
      </c>
      <c r="G313" s="11">
        <f>DistMeetingQuota[[#This Row],[Quota]]-DistMeetingQuota[[#This Row],[Actual]]</f>
        <v>2</v>
      </c>
      <c r="H313" s="49">
        <f>DistMeetingQuota[[#This Row],[Actual]]/DistMeetingQuota[[#This Row],[Quota]]</f>
        <v>0</v>
      </c>
      <c r="I313" s="4"/>
      <c r="J313" s="2"/>
      <c r="K313" s="2"/>
      <c r="L313" s="2"/>
      <c r="M313" s="2"/>
      <c r="N313" s="2"/>
      <c r="O313" s="2"/>
      <c r="P313" s="4" t="s">
        <v>14</v>
      </c>
      <c r="Q313" s="2"/>
    </row>
    <row r="314" spans="1:17" s="109" customFormat="1">
      <c r="A314" s="4">
        <v>2087363</v>
      </c>
      <c r="B314" s="5" t="s">
        <v>259</v>
      </c>
      <c r="C314" s="4" t="s">
        <v>287</v>
      </c>
      <c r="D314" s="4" t="s">
        <v>11</v>
      </c>
      <c r="E314" s="53">
        <v>2</v>
      </c>
      <c r="F314" s="11">
        <f>SUM(DistMeetingQuota[[#This Row],[Sep]:[Feb]])</f>
        <v>0</v>
      </c>
      <c r="G314" s="11">
        <f>DistMeetingQuota[[#This Row],[Quota]]-DistMeetingQuota[[#This Row],[Actual]]</f>
        <v>2</v>
      </c>
      <c r="H314" s="49">
        <f>DistMeetingQuota[[#This Row],[Actual]]/DistMeetingQuota[[#This Row],[Quota]]</f>
        <v>0</v>
      </c>
      <c r="I314" s="4"/>
      <c r="J314" s="2"/>
      <c r="K314" s="2"/>
      <c r="L314" s="2"/>
      <c r="M314" s="2"/>
      <c r="N314" s="2"/>
      <c r="O314" s="2"/>
      <c r="P314" s="4" t="s">
        <v>14</v>
      </c>
      <c r="Q314" s="2"/>
    </row>
    <row r="315" spans="1:17" s="109" customFormat="1" ht="30">
      <c r="A315" s="4">
        <v>2035289</v>
      </c>
      <c r="B315" s="5" t="s">
        <v>260</v>
      </c>
      <c r="C315" s="4" t="s">
        <v>287</v>
      </c>
      <c r="D315" s="4" t="s">
        <v>5</v>
      </c>
      <c r="E315" s="53">
        <v>24</v>
      </c>
      <c r="F315" s="11">
        <f>SUM(DistMeetingQuota[[#This Row],[Sep]:[Feb]])</f>
        <v>4</v>
      </c>
      <c r="G315" s="11">
        <f>DistMeetingQuota[[#This Row],[Quota]]-DistMeetingQuota[[#This Row],[Actual]]</f>
        <v>20</v>
      </c>
      <c r="H315" s="49">
        <f>DistMeetingQuota[[#This Row],[Actual]]/DistMeetingQuota[[#This Row],[Quota]]</f>
        <v>0.16666666666666666</v>
      </c>
      <c r="I315" s="4">
        <v>4</v>
      </c>
      <c r="J315" s="2"/>
      <c r="K315" s="2"/>
      <c r="L315" s="2"/>
      <c r="M315" s="2"/>
      <c r="N315" s="2"/>
      <c r="O315" s="2"/>
      <c r="P315" s="4" t="s">
        <v>6</v>
      </c>
      <c r="Q315" s="2"/>
    </row>
    <row r="316" spans="1:17" s="109" customFormat="1" ht="30">
      <c r="A316" s="4">
        <v>2035289</v>
      </c>
      <c r="B316" s="5" t="s">
        <v>260</v>
      </c>
      <c r="C316" s="4" t="s">
        <v>287</v>
      </c>
      <c r="D316" s="4" t="s">
        <v>11</v>
      </c>
      <c r="E316" s="53">
        <v>2</v>
      </c>
      <c r="F316" s="11">
        <f>SUM(DistMeetingQuota[[#This Row],[Sep]:[Feb]])</f>
        <v>1</v>
      </c>
      <c r="G316" s="11">
        <f>DistMeetingQuota[[#This Row],[Quota]]-DistMeetingQuota[[#This Row],[Actual]]</f>
        <v>1</v>
      </c>
      <c r="H316" s="49">
        <f>DistMeetingQuota[[#This Row],[Actual]]/DistMeetingQuota[[#This Row],[Quota]]</f>
        <v>0.5</v>
      </c>
      <c r="I316" s="4"/>
      <c r="J316" s="2">
        <v>1</v>
      </c>
      <c r="K316" s="2"/>
      <c r="L316" s="2"/>
      <c r="M316" s="2"/>
      <c r="N316" s="2"/>
      <c r="O316" s="2"/>
      <c r="P316" s="4" t="s">
        <v>6</v>
      </c>
      <c r="Q316" s="2"/>
    </row>
    <row r="317" spans="1:17" s="109" customFormat="1" ht="30">
      <c r="A317" s="4">
        <v>2013562</v>
      </c>
      <c r="B317" s="5" t="s">
        <v>261</v>
      </c>
      <c r="C317" s="4" t="s">
        <v>19</v>
      </c>
      <c r="D317" s="4" t="s">
        <v>11</v>
      </c>
      <c r="E317" s="53">
        <v>2</v>
      </c>
      <c r="F317" s="11">
        <f>SUM(DistMeetingQuota[[#This Row],[Sep]:[Feb]])</f>
        <v>0</v>
      </c>
      <c r="G317" s="11">
        <f>DistMeetingQuota[[#This Row],[Quota]]-DistMeetingQuota[[#This Row],[Actual]]</f>
        <v>2</v>
      </c>
      <c r="H317" s="49">
        <f>DistMeetingQuota[[#This Row],[Actual]]/DistMeetingQuota[[#This Row],[Quota]]</f>
        <v>0</v>
      </c>
      <c r="I317" s="4"/>
      <c r="J317" s="2"/>
      <c r="K317" s="2"/>
      <c r="L317" s="2"/>
      <c r="M317" s="2"/>
      <c r="N317" s="2"/>
      <c r="O317" s="2"/>
      <c r="P317" s="4" t="s">
        <v>496</v>
      </c>
      <c r="Q317" s="2"/>
    </row>
    <row r="318" spans="1:17" s="109" customFormat="1" ht="30">
      <c r="A318" s="4">
        <v>2013562</v>
      </c>
      <c r="B318" s="5" t="s">
        <v>261</v>
      </c>
      <c r="C318" s="4" t="s">
        <v>287</v>
      </c>
      <c r="D318" s="4" t="s">
        <v>5</v>
      </c>
      <c r="E318" s="53">
        <v>24</v>
      </c>
      <c r="F318" s="11">
        <f>SUM(DistMeetingQuota[[#This Row],[Sep]:[Feb]])</f>
        <v>24</v>
      </c>
      <c r="G318" s="11">
        <f>DistMeetingQuota[[#This Row],[Quota]]-DistMeetingQuota[[#This Row],[Actual]]</f>
        <v>0</v>
      </c>
      <c r="H318" s="49">
        <f>DistMeetingQuota[[#This Row],[Actual]]/DistMeetingQuota[[#This Row],[Quota]]</f>
        <v>1</v>
      </c>
      <c r="I318" s="4">
        <v>4</v>
      </c>
      <c r="J318" s="2">
        <v>4</v>
      </c>
      <c r="K318" s="2">
        <v>4</v>
      </c>
      <c r="L318" s="2">
        <v>4</v>
      </c>
      <c r="M318" s="2">
        <v>4</v>
      </c>
      <c r="N318" s="2">
        <v>4</v>
      </c>
      <c r="O318" s="2"/>
      <c r="P318" s="4" t="s">
        <v>496</v>
      </c>
      <c r="Q318" s="2"/>
    </row>
    <row r="319" spans="1:17" s="109" customFormat="1" ht="30">
      <c r="A319" s="4">
        <v>2095162</v>
      </c>
      <c r="B319" s="5" t="s">
        <v>500</v>
      </c>
      <c r="C319" s="4" t="s">
        <v>287</v>
      </c>
      <c r="D319" s="4" t="s">
        <v>11</v>
      </c>
      <c r="E319" s="53">
        <v>2</v>
      </c>
      <c r="F319" s="11">
        <f>SUM(DistMeetingQuota[[#This Row],[Sep]:[Feb]])</f>
        <v>0</v>
      </c>
      <c r="G319" s="11">
        <f>DistMeetingQuota[[#This Row],[Quota]]-DistMeetingQuota[[#This Row],[Actual]]</f>
        <v>2</v>
      </c>
      <c r="H319" s="49">
        <f>DistMeetingQuota[[#This Row],[Actual]]/DistMeetingQuota[[#This Row],[Quota]]</f>
        <v>0</v>
      </c>
      <c r="I319" s="4"/>
      <c r="J319" s="2"/>
      <c r="K319" s="2"/>
      <c r="L319" s="2"/>
      <c r="M319" s="2"/>
      <c r="N319" s="2"/>
      <c r="O319" s="2"/>
      <c r="P319" s="4" t="s">
        <v>14</v>
      </c>
      <c r="Q319" s="2"/>
    </row>
    <row r="320" spans="1:17" s="109" customFormat="1" ht="30">
      <c r="A320" s="4">
        <v>2116299</v>
      </c>
      <c r="B320" s="5" t="s">
        <v>262</v>
      </c>
      <c r="C320" s="4" t="s">
        <v>287</v>
      </c>
      <c r="D320" s="4" t="s">
        <v>11</v>
      </c>
      <c r="E320" s="53">
        <v>2</v>
      </c>
      <c r="F320" s="11">
        <f>SUM(DistMeetingQuota[[#This Row],[Sep]:[Feb]])</f>
        <v>0</v>
      </c>
      <c r="G320" s="11">
        <f>DistMeetingQuota[[#This Row],[Quota]]-DistMeetingQuota[[#This Row],[Actual]]</f>
        <v>2</v>
      </c>
      <c r="H320" s="49">
        <f>DistMeetingQuota[[#This Row],[Actual]]/DistMeetingQuota[[#This Row],[Quota]]</f>
        <v>0</v>
      </c>
      <c r="I320" s="4"/>
      <c r="J320" s="2"/>
      <c r="K320" s="2"/>
      <c r="L320" s="2"/>
      <c r="M320" s="2"/>
      <c r="N320" s="2"/>
      <c r="O320" s="2"/>
      <c r="P320" s="4" t="s">
        <v>14</v>
      </c>
      <c r="Q320" s="2"/>
    </row>
    <row r="321" spans="1:17" s="109" customFormat="1" ht="30">
      <c r="A321" s="4">
        <v>2031537</v>
      </c>
      <c r="B321" s="5" t="s">
        <v>263</v>
      </c>
      <c r="C321" s="4" t="s">
        <v>287</v>
      </c>
      <c r="D321" s="4" t="s">
        <v>11</v>
      </c>
      <c r="E321" s="53">
        <v>2</v>
      </c>
      <c r="F321" s="11">
        <f>SUM(DistMeetingQuota[[#This Row],[Sep]:[Feb]])</f>
        <v>2</v>
      </c>
      <c r="G321" s="11">
        <f>DistMeetingQuota[[#This Row],[Quota]]-DistMeetingQuota[[#This Row],[Actual]]</f>
        <v>0</v>
      </c>
      <c r="H321" s="49">
        <f>DistMeetingQuota[[#This Row],[Actual]]/DistMeetingQuota[[#This Row],[Quota]]</f>
        <v>1</v>
      </c>
      <c r="I321" s="4"/>
      <c r="J321" s="2"/>
      <c r="K321" s="2">
        <v>2</v>
      </c>
      <c r="L321" s="2"/>
      <c r="M321" s="2"/>
      <c r="N321" s="2"/>
      <c r="O321" s="2"/>
      <c r="P321" s="4" t="s">
        <v>55</v>
      </c>
      <c r="Q321" s="2"/>
    </row>
    <row r="322" spans="1:17" s="109" customFormat="1" ht="30">
      <c r="A322" s="4">
        <v>2031537</v>
      </c>
      <c r="B322" s="5" t="s">
        <v>263</v>
      </c>
      <c r="C322" s="4" t="s">
        <v>287</v>
      </c>
      <c r="D322" s="4" t="s">
        <v>5</v>
      </c>
      <c r="E322" s="53">
        <v>24</v>
      </c>
      <c r="F322" s="11">
        <f>SUM(DistMeetingQuota[[#This Row],[Sep]:[Feb]])</f>
        <v>22</v>
      </c>
      <c r="G322" s="11">
        <f>DistMeetingQuota[[#This Row],[Quota]]-DistMeetingQuota[[#This Row],[Actual]]</f>
        <v>2</v>
      </c>
      <c r="H322" s="49">
        <f>DistMeetingQuota[[#This Row],[Actual]]/DistMeetingQuota[[#This Row],[Quota]]</f>
        <v>0.91666666666666663</v>
      </c>
      <c r="I322" s="4"/>
      <c r="J322" s="2"/>
      <c r="K322" s="2"/>
      <c r="L322" s="2">
        <v>9</v>
      </c>
      <c r="M322" s="2">
        <v>7</v>
      </c>
      <c r="N322" s="2">
        <v>6</v>
      </c>
      <c r="O322" s="2"/>
      <c r="P322" s="4" t="s">
        <v>55</v>
      </c>
      <c r="Q322" s="2"/>
    </row>
    <row r="323" spans="1:17" s="109" customFormat="1">
      <c r="A323" s="4">
        <v>2109482</v>
      </c>
      <c r="B323" s="5" t="s">
        <v>264</v>
      </c>
      <c r="C323" s="4" t="s">
        <v>21</v>
      </c>
      <c r="D323" s="4" t="s">
        <v>11</v>
      </c>
      <c r="E323" s="53">
        <v>3</v>
      </c>
      <c r="F323" s="11">
        <f>SUM(DistMeetingQuota[[#This Row],[Sep]:[Feb]])</f>
        <v>0</v>
      </c>
      <c r="G323" s="11">
        <f>DistMeetingQuota[[#This Row],[Quota]]-DistMeetingQuota[[#This Row],[Actual]]</f>
        <v>3</v>
      </c>
      <c r="H323" s="49">
        <f>DistMeetingQuota[[#This Row],[Actual]]/DistMeetingQuota[[#This Row],[Quota]]</f>
        <v>0</v>
      </c>
      <c r="I323" s="4"/>
      <c r="J323" s="2"/>
      <c r="K323" s="2"/>
      <c r="L323" s="2"/>
      <c r="M323" s="2"/>
      <c r="N323" s="2"/>
      <c r="O323" s="2"/>
      <c r="P323" s="4" t="s">
        <v>14</v>
      </c>
      <c r="Q323" s="2"/>
    </row>
    <row r="324" spans="1:17" s="109" customFormat="1">
      <c r="A324" s="4">
        <v>2109482</v>
      </c>
      <c r="B324" s="5" t="s">
        <v>264</v>
      </c>
      <c r="C324" s="4" t="s">
        <v>21</v>
      </c>
      <c r="D324" s="4" t="s">
        <v>13</v>
      </c>
      <c r="E324" s="53">
        <v>2</v>
      </c>
      <c r="F324" s="11">
        <f>SUM(DistMeetingQuota[[#This Row],[Sep]:[Feb]])</f>
        <v>0</v>
      </c>
      <c r="G324" s="11">
        <f>DistMeetingQuota[[#This Row],[Quota]]-DistMeetingQuota[[#This Row],[Actual]]</f>
        <v>2</v>
      </c>
      <c r="H324" s="49">
        <f>DistMeetingQuota[[#This Row],[Actual]]/DistMeetingQuota[[#This Row],[Quota]]</f>
        <v>0</v>
      </c>
      <c r="I324" s="4"/>
      <c r="J324" s="2"/>
      <c r="K324" s="2"/>
      <c r="L324" s="2"/>
      <c r="M324" s="2"/>
      <c r="N324" s="2"/>
      <c r="O324" s="2"/>
      <c r="P324" s="4" t="s">
        <v>14</v>
      </c>
      <c r="Q324" s="2"/>
    </row>
    <row r="325" spans="1:17" s="109" customFormat="1" ht="30">
      <c r="A325" s="4">
        <v>2090935</v>
      </c>
      <c r="B325" s="5" t="s">
        <v>265</v>
      </c>
      <c r="C325" s="4" t="s">
        <v>21</v>
      </c>
      <c r="D325" s="4" t="s">
        <v>11</v>
      </c>
      <c r="E325" s="53">
        <v>3</v>
      </c>
      <c r="F325" s="11">
        <f>SUM(DistMeetingQuota[[#This Row],[Sep]:[Feb]])</f>
        <v>2</v>
      </c>
      <c r="G325" s="11">
        <f>DistMeetingQuota[[#This Row],[Quota]]-DistMeetingQuota[[#This Row],[Actual]]</f>
        <v>1</v>
      </c>
      <c r="H325" s="49">
        <f>DistMeetingQuota[[#This Row],[Actual]]/DistMeetingQuota[[#This Row],[Quota]]</f>
        <v>0.66666666666666663</v>
      </c>
      <c r="I325" s="4"/>
      <c r="J325" s="2"/>
      <c r="K325" s="2"/>
      <c r="L325" s="2"/>
      <c r="M325" s="2">
        <v>2</v>
      </c>
      <c r="N325" s="2"/>
      <c r="O325" s="2"/>
      <c r="P325" s="4" t="s">
        <v>55</v>
      </c>
      <c r="Q325" s="2"/>
    </row>
    <row r="326" spans="1:17" s="109" customFormat="1" ht="30">
      <c r="A326" s="4">
        <v>2090935</v>
      </c>
      <c r="B326" s="5" t="s">
        <v>265</v>
      </c>
      <c r="C326" s="4" t="s">
        <v>21</v>
      </c>
      <c r="D326" s="4" t="s">
        <v>13</v>
      </c>
      <c r="E326" s="53">
        <v>2</v>
      </c>
      <c r="F326" s="11">
        <f>SUM(DistMeetingQuota[[#This Row],[Sep]:[Feb]])</f>
        <v>1</v>
      </c>
      <c r="G326" s="11">
        <f>DistMeetingQuota[[#This Row],[Quota]]-DistMeetingQuota[[#This Row],[Actual]]</f>
        <v>1</v>
      </c>
      <c r="H326" s="49">
        <f>DistMeetingQuota[[#This Row],[Actual]]/DistMeetingQuota[[#This Row],[Quota]]</f>
        <v>0.5</v>
      </c>
      <c r="I326" s="4"/>
      <c r="J326" s="2"/>
      <c r="K326" s="2">
        <v>1</v>
      </c>
      <c r="L326" s="2"/>
      <c r="M326" s="2"/>
      <c r="N326" s="2"/>
      <c r="O326" s="2"/>
      <c r="P326" s="4" t="s">
        <v>55</v>
      </c>
      <c r="Q326" s="2"/>
    </row>
    <row r="327" spans="1:17" s="109" customFormat="1" ht="30">
      <c r="A327" s="4">
        <v>2095321</v>
      </c>
      <c r="B327" s="5" t="s">
        <v>266</v>
      </c>
      <c r="C327" s="4" t="s">
        <v>33</v>
      </c>
      <c r="D327" s="4" t="s">
        <v>11</v>
      </c>
      <c r="E327" s="53">
        <v>2</v>
      </c>
      <c r="F327" s="11">
        <f>SUM(DistMeetingQuota[[#This Row],[Sep]:[Feb]])</f>
        <v>1</v>
      </c>
      <c r="G327" s="11">
        <f>DistMeetingQuota[[#This Row],[Quota]]-DistMeetingQuota[[#This Row],[Actual]]</f>
        <v>1</v>
      </c>
      <c r="H327" s="49">
        <f>DistMeetingQuota[[#This Row],[Actual]]/DistMeetingQuota[[#This Row],[Quota]]</f>
        <v>0.5</v>
      </c>
      <c r="I327" s="4"/>
      <c r="J327" s="2"/>
      <c r="K327" s="2"/>
      <c r="L327" s="2">
        <v>1</v>
      </c>
      <c r="M327" s="2"/>
      <c r="N327" s="2"/>
      <c r="O327" s="2"/>
      <c r="P327" s="4" t="s">
        <v>14</v>
      </c>
      <c r="Q327" s="2"/>
    </row>
    <row r="328" spans="1:17" s="109" customFormat="1" ht="30">
      <c r="A328" s="4">
        <v>2083062</v>
      </c>
      <c r="B328" s="5" t="s">
        <v>267</v>
      </c>
      <c r="C328" s="4" t="s">
        <v>287</v>
      </c>
      <c r="D328" s="4" t="s">
        <v>11</v>
      </c>
      <c r="E328" s="53">
        <v>2</v>
      </c>
      <c r="F328" s="11">
        <f>SUM(DistMeetingQuota[[#This Row],[Sep]:[Feb]])</f>
        <v>0</v>
      </c>
      <c r="G328" s="11">
        <f>DistMeetingQuota[[#This Row],[Quota]]-DistMeetingQuota[[#This Row],[Actual]]</f>
        <v>2</v>
      </c>
      <c r="H328" s="49">
        <f>DistMeetingQuota[[#This Row],[Actual]]/DistMeetingQuota[[#This Row],[Quota]]</f>
        <v>0</v>
      </c>
      <c r="I328" s="4"/>
      <c r="J328" s="2"/>
      <c r="K328" s="2"/>
      <c r="L328" s="2"/>
      <c r="M328" s="2"/>
      <c r="N328" s="2"/>
      <c r="O328" s="2"/>
      <c r="P328" s="4" t="s">
        <v>14</v>
      </c>
      <c r="Q328" s="2"/>
    </row>
    <row r="329" spans="1:17" s="109" customFormat="1" ht="30">
      <c r="A329" s="4">
        <v>2018846</v>
      </c>
      <c r="B329" s="5" t="s">
        <v>268</v>
      </c>
      <c r="C329" s="4" t="s">
        <v>21</v>
      </c>
      <c r="D329" s="4" t="s">
        <v>11</v>
      </c>
      <c r="E329" s="53">
        <v>3</v>
      </c>
      <c r="F329" s="11">
        <f>SUM(DistMeetingQuota[[#This Row],[Sep]:[Feb]])</f>
        <v>0</v>
      </c>
      <c r="G329" s="11">
        <f>DistMeetingQuota[[#This Row],[Quota]]-DistMeetingQuota[[#This Row],[Actual]]</f>
        <v>3</v>
      </c>
      <c r="H329" s="49">
        <f>DistMeetingQuota[[#This Row],[Actual]]/DistMeetingQuota[[#This Row],[Quota]]</f>
        <v>0</v>
      </c>
      <c r="I329" s="4"/>
      <c r="J329" s="2"/>
      <c r="K329" s="2"/>
      <c r="L329" s="2"/>
      <c r="M329" s="2"/>
      <c r="N329" s="2"/>
      <c r="O329" s="2"/>
      <c r="P329" s="4" t="s">
        <v>14</v>
      </c>
      <c r="Q329" s="2"/>
    </row>
    <row r="330" spans="1:17" s="109" customFormat="1" ht="30">
      <c r="A330" s="4">
        <v>2018846</v>
      </c>
      <c r="B330" s="5" t="s">
        <v>268</v>
      </c>
      <c r="C330" s="4" t="s">
        <v>21</v>
      </c>
      <c r="D330" s="4" t="s">
        <v>13</v>
      </c>
      <c r="E330" s="53">
        <v>2</v>
      </c>
      <c r="F330" s="11">
        <f>SUM(DistMeetingQuota[[#This Row],[Sep]:[Feb]])</f>
        <v>0</v>
      </c>
      <c r="G330" s="11">
        <f>DistMeetingQuota[[#This Row],[Quota]]-DistMeetingQuota[[#This Row],[Actual]]</f>
        <v>2</v>
      </c>
      <c r="H330" s="49">
        <f>DistMeetingQuota[[#This Row],[Actual]]/DistMeetingQuota[[#This Row],[Quota]]</f>
        <v>0</v>
      </c>
      <c r="I330" s="4"/>
      <c r="J330" s="2"/>
      <c r="K330" s="2"/>
      <c r="L330" s="2"/>
      <c r="M330" s="2"/>
      <c r="N330" s="2"/>
      <c r="O330" s="2"/>
      <c r="P330" s="4" t="s">
        <v>14</v>
      </c>
      <c r="Q330" s="2"/>
    </row>
    <row r="331" spans="1:17" s="109" customFormat="1">
      <c r="A331" s="4">
        <v>2010086</v>
      </c>
      <c r="B331" s="138" t="s">
        <v>936</v>
      </c>
      <c r="C331" s="4" t="s">
        <v>21</v>
      </c>
      <c r="D331" s="4" t="s">
        <v>11</v>
      </c>
      <c r="E331" s="53">
        <v>3</v>
      </c>
      <c r="F331" s="11">
        <f>SUM(DistMeetingQuota[[#This Row],[Sep]:[Feb]])</f>
        <v>0</v>
      </c>
      <c r="G331" s="11">
        <f>DistMeetingQuota[[#This Row],[Quota]]-DistMeetingQuota[[#This Row],[Actual]]</f>
        <v>3</v>
      </c>
      <c r="H331" s="49">
        <f>DistMeetingQuota[[#This Row],[Actual]]/DistMeetingQuota[[#This Row],[Quota]]</f>
        <v>0</v>
      </c>
      <c r="I331" s="4"/>
      <c r="J331" s="2"/>
      <c r="K331" s="2"/>
      <c r="L331" s="2"/>
      <c r="M331" s="2"/>
      <c r="N331" s="2"/>
      <c r="O331" s="2"/>
      <c r="P331" s="140" t="s">
        <v>10</v>
      </c>
      <c r="Q331" s="2"/>
    </row>
    <row r="332" spans="1:17" s="109" customFormat="1">
      <c r="A332" s="4">
        <v>2010086</v>
      </c>
      <c r="B332" s="138" t="s">
        <v>936</v>
      </c>
      <c r="C332" s="4" t="s">
        <v>21</v>
      </c>
      <c r="D332" s="4" t="s">
        <v>13</v>
      </c>
      <c r="E332" s="53">
        <v>2</v>
      </c>
      <c r="F332" s="11">
        <f>SUM(DistMeetingQuota[[#This Row],[Sep]:[Feb]])</f>
        <v>2</v>
      </c>
      <c r="G332" s="11">
        <f>DistMeetingQuota[[#This Row],[Quota]]-DistMeetingQuota[[#This Row],[Actual]]</f>
        <v>0</v>
      </c>
      <c r="H332" s="49">
        <f>DistMeetingQuota[[#This Row],[Actual]]/DistMeetingQuota[[#This Row],[Quota]]</f>
        <v>1</v>
      </c>
      <c r="I332" s="4"/>
      <c r="J332" s="2">
        <v>2</v>
      </c>
      <c r="K332" s="2"/>
      <c r="L332" s="2"/>
      <c r="M332" s="2"/>
      <c r="N332" s="2"/>
      <c r="O332" s="2"/>
      <c r="P332" s="140" t="s">
        <v>10</v>
      </c>
      <c r="Q332" s="2"/>
    </row>
    <row r="333" spans="1:17" s="109" customFormat="1" ht="30">
      <c r="A333" s="4">
        <v>2009209</v>
      </c>
      <c r="B333" s="5" t="s">
        <v>269</v>
      </c>
      <c r="C333" s="4" t="s">
        <v>22</v>
      </c>
      <c r="D333" s="4" t="s">
        <v>13</v>
      </c>
      <c r="E333" s="53">
        <v>3</v>
      </c>
      <c r="F333" s="11">
        <f>SUM(DistMeetingQuota[[#This Row],[Sep]:[Feb]])</f>
        <v>3</v>
      </c>
      <c r="G333" s="11">
        <f>DistMeetingQuota[[#This Row],[Quota]]-DistMeetingQuota[[#This Row],[Actual]]</f>
        <v>0</v>
      </c>
      <c r="H333" s="49">
        <f>DistMeetingQuota[[#This Row],[Actual]]/DistMeetingQuota[[#This Row],[Quota]]</f>
        <v>1</v>
      </c>
      <c r="I333" s="4"/>
      <c r="J333" s="2"/>
      <c r="K333" s="2"/>
      <c r="L333" s="2"/>
      <c r="M333" s="2"/>
      <c r="N333" s="2">
        <v>3</v>
      </c>
      <c r="O333" s="4"/>
      <c r="P333" s="4" t="s">
        <v>62</v>
      </c>
      <c r="Q333" s="2"/>
    </row>
    <row r="334" spans="1:17" s="109" customFormat="1" ht="30">
      <c r="A334" s="4">
        <v>2009209</v>
      </c>
      <c r="B334" s="5" t="s">
        <v>269</v>
      </c>
      <c r="C334" s="4" t="s">
        <v>22</v>
      </c>
      <c r="D334" s="4" t="s">
        <v>487</v>
      </c>
      <c r="E334" s="53">
        <v>2</v>
      </c>
      <c r="F334" s="11">
        <f>SUM(DistMeetingQuota[[#This Row],[Sep]:[Feb]])</f>
        <v>2</v>
      </c>
      <c r="G334" s="11">
        <f>DistMeetingQuota[[#This Row],[Quota]]-DistMeetingQuota[[#This Row],[Actual]]</f>
        <v>0</v>
      </c>
      <c r="H334" s="49">
        <f>DistMeetingQuota[[#This Row],[Actual]]/DistMeetingQuota[[#This Row],[Quota]]</f>
        <v>1</v>
      </c>
      <c r="I334" s="4"/>
      <c r="J334" s="2"/>
      <c r="K334" s="2"/>
      <c r="L334" s="2"/>
      <c r="M334" s="2"/>
      <c r="N334" s="2">
        <v>2</v>
      </c>
      <c r="O334" s="2"/>
      <c r="P334" s="4" t="s">
        <v>62</v>
      </c>
      <c r="Q334" s="2"/>
    </row>
    <row r="335" spans="1:17" s="109" customFormat="1" ht="30">
      <c r="A335" s="4">
        <v>2010443</v>
      </c>
      <c r="B335" s="5" t="s">
        <v>270</v>
      </c>
      <c r="C335" s="4" t="s">
        <v>21</v>
      </c>
      <c r="D335" s="4" t="s">
        <v>11</v>
      </c>
      <c r="E335" s="53">
        <v>3</v>
      </c>
      <c r="F335" s="11">
        <f>SUM(DistMeetingQuota[[#This Row],[Sep]:[Feb]])</f>
        <v>0</v>
      </c>
      <c r="G335" s="11">
        <f>DistMeetingQuota[[#This Row],[Quota]]-DistMeetingQuota[[#This Row],[Actual]]</f>
        <v>3</v>
      </c>
      <c r="H335" s="49">
        <f>DistMeetingQuota[[#This Row],[Actual]]/DistMeetingQuota[[#This Row],[Quota]]</f>
        <v>0</v>
      </c>
      <c r="I335" s="4"/>
      <c r="J335" s="2"/>
      <c r="K335" s="2"/>
      <c r="L335" s="2"/>
      <c r="M335" s="2"/>
      <c r="N335" s="2"/>
      <c r="O335" s="2"/>
      <c r="P335" s="4" t="s">
        <v>10</v>
      </c>
      <c r="Q335" s="2"/>
    </row>
    <row r="336" spans="1:17" s="109" customFormat="1" ht="30">
      <c r="A336" s="4">
        <v>2010443</v>
      </c>
      <c r="B336" s="5" t="s">
        <v>270</v>
      </c>
      <c r="C336" s="4" t="s">
        <v>21</v>
      </c>
      <c r="D336" s="4" t="s">
        <v>13</v>
      </c>
      <c r="E336" s="53">
        <v>2</v>
      </c>
      <c r="F336" s="11">
        <f>SUM(DistMeetingQuota[[#This Row],[Sep]:[Feb]])</f>
        <v>0</v>
      </c>
      <c r="G336" s="11">
        <f>DistMeetingQuota[[#This Row],[Quota]]-DistMeetingQuota[[#This Row],[Actual]]</f>
        <v>2</v>
      </c>
      <c r="H336" s="49">
        <f>DistMeetingQuota[[#This Row],[Actual]]/DistMeetingQuota[[#This Row],[Quota]]</f>
        <v>0</v>
      </c>
      <c r="I336" s="4"/>
      <c r="J336" s="2"/>
      <c r="K336" s="2"/>
      <c r="L336" s="2"/>
      <c r="M336" s="2"/>
      <c r="N336" s="2"/>
      <c r="O336" s="2"/>
      <c r="P336" s="4" t="s">
        <v>10</v>
      </c>
      <c r="Q336" s="2"/>
    </row>
    <row r="337" spans="1:17" s="109" customFormat="1" ht="30">
      <c r="A337" s="4">
        <v>2016220</v>
      </c>
      <c r="B337" s="5" t="s">
        <v>501</v>
      </c>
      <c r="C337" s="4" t="s">
        <v>33</v>
      </c>
      <c r="D337" s="4" t="s">
        <v>11</v>
      </c>
      <c r="E337" s="53">
        <v>2</v>
      </c>
      <c r="F337" s="11">
        <f>SUM(DistMeetingQuota[[#This Row],[Sep]:[Feb]])</f>
        <v>0</v>
      </c>
      <c r="G337" s="11">
        <f>DistMeetingQuota[[#This Row],[Quota]]-DistMeetingQuota[[#This Row],[Actual]]</f>
        <v>2</v>
      </c>
      <c r="H337" s="49">
        <f>DistMeetingQuota[[#This Row],[Actual]]/DistMeetingQuota[[#This Row],[Quota]]</f>
        <v>0</v>
      </c>
      <c r="I337" s="4"/>
      <c r="J337" s="2"/>
      <c r="K337" s="2"/>
      <c r="L337" s="2"/>
      <c r="M337" s="2"/>
      <c r="N337" s="2"/>
      <c r="O337" s="2"/>
      <c r="P337" s="4" t="s">
        <v>14</v>
      </c>
      <c r="Q337" s="2"/>
    </row>
    <row r="338" spans="1:17" s="109" customFormat="1">
      <c r="A338" s="4">
        <v>2009473</v>
      </c>
      <c r="B338" s="138" t="s">
        <v>271</v>
      </c>
      <c r="C338" s="4" t="s">
        <v>21</v>
      </c>
      <c r="D338" s="4" t="s">
        <v>11</v>
      </c>
      <c r="E338" s="53">
        <v>3</v>
      </c>
      <c r="F338" s="11">
        <f>SUM(DistMeetingQuota[[#This Row],[Sep]:[Feb]])</f>
        <v>2</v>
      </c>
      <c r="G338" s="11">
        <f>DistMeetingQuota[[#This Row],[Quota]]-DistMeetingQuota[[#This Row],[Actual]]</f>
        <v>1</v>
      </c>
      <c r="H338" s="49">
        <f>DistMeetingQuota[[#This Row],[Actual]]/DistMeetingQuota[[#This Row],[Quota]]</f>
        <v>0.66666666666666663</v>
      </c>
      <c r="I338" s="4">
        <v>2</v>
      </c>
      <c r="J338" s="2"/>
      <c r="K338" s="2"/>
      <c r="L338" s="2"/>
      <c r="M338" s="2"/>
      <c r="N338" s="2"/>
      <c r="O338" s="2"/>
      <c r="P338" s="4" t="s">
        <v>62</v>
      </c>
      <c r="Q338" s="2"/>
    </row>
    <row r="339" spans="1:17" s="109" customFormat="1">
      <c r="A339" s="4">
        <v>2009473</v>
      </c>
      <c r="B339" s="5" t="s">
        <v>271</v>
      </c>
      <c r="C339" s="4" t="s">
        <v>21</v>
      </c>
      <c r="D339" s="4" t="s">
        <v>13</v>
      </c>
      <c r="E339" s="53">
        <v>2</v>
      </c>
      <c r="F339" s="11">
        <f>SUM(DistMeetingQuota[[#This Row],[Sep]:[Feb]])</f>
        <v>0</v>
      </c>
      <c r="G339" s="11">
        <f>DistMeetingQuota[[#This Row],[Quota]]-DistMeetingQuota[[#This Row],[Actual]]</f>
        <v>2</v>
      </c>
      <c r="H339" s="49">
        <f>DistMeetingQuota[[#This Row],[Actual]]/DistMeetingQuota[[#This Row],[Quota]]</f>
        <v>0</v>
      </c>
      <c r="I339" s="4"/>
      <c r="J339" s="2"/>
      <c r="K339" s="2"/>
      <c r="L339" s="2"/>
      <c r="M339" s="2"/>
      <c r="N339" s="2"/>
      <c r="O339" s="2"/>
      <c r="P339" s="4" t="s">
        <v>62</v>
      </c>
      <c r="Q339" s="2"/>
    </row>
    <row r="340" spans="1:17" s="109" customFormat="1" ht="30">
      <c r="A340" s="4">
        <v>2014400</v>
      </c>
      <c r="B340" s="5" t="s">
        <v>272</v>
      </c>
      <c r="C340" s="4" t="s">
        <v>33</v>
      </c>
      <c r="D340" s="4" t="s">
        <v>11</v>
      </c>
      <c r="E340" s="53">
        <v>2</v>
      </c>
      <c r="F340" s="11">
        <f>SUM(DistMeetingQuota[[#This Row],[Sep]:[Feb]])</f>
        <v>0</v>
      </c>
      <c r="G340" s="11">
        <f>DistMeetingQuota[[#This Row],[Quota]]-DistMeetingQuota[[#This Row],[Actual]]</f>
        <v>2</v>
      </c>
      <c r="H340" s="49">
        <f>DistMeetingQuota[[#This Row],[Actual]]/DistMeetingQuota[[#This Row],[Quota]]</f>
        <v>0</v>
      </c>
      <c r="I340" s="4"/>
      <c r="J340" s="2"/>
      <c r="K340" s="2"/>
      <c r="L340" s="2"/>
      <c r="M340" s="2"/>
      <c r="N340" s="2"/>
      <c r="O340" s="2"/>
      <c r="P340" s="4" t="s">
        <v>14</v>
      </c>
      <c r="Q340" s="2"/>
    </row>
    <row r="341" spans="1:17" s="109" customFormat="1">
      <c r="A341" s="4">
        <v>2014139</v>
      </c>
      <c r="B341" s="5" t="s">
        <v>273</v>
      </c>
      <c r="C341" s="4" t="s">
        <v>21</v>
      </c>
      <c r="D341" s="4" t="s">
        <v>11</v>
      </c>
      <c r="E341" s="53">
        <v>3</v>
      </c>
      <c r="F341" s="11">
        <f>SUM(DistMeetingQuota[[#This Row],[Sep]:[Feb]])</f>
        <v>2</v>
      </c>
      <c r="G341" s="11">
        <f>DistMeetingQuota[[#This Row],[Quota]]-DistMeetingQuota[[#This Row],[Actual]]</f>
        <v>1</v>
      </c>
      <c r="H341" s="49">
        <f>DistMeetingQuota[[#This Row],[Actual]]/DistMeetingQuota[[#This Row],[Quota]]</f>
        <v>0.66666666666666663</v>
      </c>
      <c r="I341" s="4">
        <v>2</v>
      </c>
      <c r="J341" s="2"/>
      <c r="K341" s="2"/>
      <c r="L341" s="2"/>
      <c r="M341" s="2"/>
      <c r="N341" s="2"/>
      <c r="O341" s="2"/>
      <c r="P341" s="4" t="s">
        <v>14</v>
      </c>
      <c r="Q341" s="2"/>
    </row>
    <row r="342" spans="1:17" s="109" customFormat="1">
      <c r="A342" s="4">
        <v>2010179</v>
      </c>
      <c r="B342" s="5" t="s">
        <v>274</v>
      </c>
      <c r="C342" s="4" t="s">
        <v>33</v>
      </c>
      <c r="D342" s="4" t="s">
        <v>11</v>
      </c>
      <c r="E342" s="53">
        <v>2</v>
      </c>
      <c r="F342" s="11">
        <f>SUM(DistMeetingQuota[[#This Row],[Sep]:[Feb]])</f>
        <v>0</v>
      </c>
      <c r="G342" s="11">
        <f>DistMeetingQuota[[#This Row],[Quota]]-DistMeetingQuota[[#This Row],[Actual]]</f>
        <v>2</v>
      </c>
      <c r="H342" s="49">
        <f>DistMeetingQuota[[#This Row],[Actual]]/DistMeetingQuota[[#This Row],[Quota]]</f>
        <v>0</v>
      </c>
      <c r="I342" s="4"/>
      <c r="J342" s="2"/>
      <c r="K342" s="2"/>
      <c r="L342" s="2"/>
      <c r="M342" s="2"/>
      <c r="N342" s="2"/>
      <c r="O342" s="2"/>
      <c r="P342" s="4" t="s">
        <v>14</v>
      </c>
      <c r="Q342" s="2"/>
    </row>
    <row r="343" spans="1:17" s="109" customFormat="1">
      <c r="A343" s="4">
        <v>2028299</v>
      </c>
      <c r="B343" s="5" t="s">
        <v>275</v>
      </c>
      <c r="C343" s="4" t="s">
        <v>21</v>
      </c>
      <c r="D343" s="4" t="s">
        <v>11</v>
      </c>
      <c r="E343" s="53">
        <v>3</v>
      </c>
      <c r="F343" s="11">
        <f>SUM(DistMeetingQuota[[#This Row],[Sep]:[Feb]])</f>
        <v>0</v>
      </c>
      <c r="G343" s="11">
        <f>DistMeetingQuota[[#This Row],[Quota]]-DistMeetingQuota[[#This Row],[Actual]]</f>
        <v>3</v>
      </c>
      <c r="H343" s="49">
        <f>DistMeetingQuota[[#This Row],[Actual]]/DistMeetingQuota[[#This Row],[Quota]]</f>
        <v>0</v>
      </c>
      <c r="I343" s="4"/>
      <c r="J343" s="2"/>
      <c r="K343" s="2"/>
      <c r="L343" s="2"/>
      <c r="M343" s="2"/>
      <c r="N343" s="2"/>
      <c r="O343" s="2"/>
      <c r="P343" s="4" t="s">
        <v>14</v>
      </c>
      <c r="Q343" s="2"/>
    </row>
    <row r="344" spans="1:17" s="109" customFormat="1">
      <c r="A344" s="4">
        <v>2028299</v>
      </c>
      <c r="B344" s="5" t="s">
        <v>275</v>
      </c>
      <c r="C344" s="4" t="s">
        <v>21</v>
      </c>
      <c r="D344" s="4" t="s">
        <v>13</v>
      </c>
      <c r="E344" s="53">
        <v>2</v>
      </c>
      <c r="F344" s="11">
        <f>SUM(DistMeetingQuota[[#This Row],[Sep]:[Feb]])</f>
        <v>2</v>
      </c>
      <c r="G344" s="11">
        <f>DistMeetingQuota[[#This Row],[Quota]]-DistMeetingQuota[[#This Row],[Actual]]</f>
        <v>0</v>
      </c>
      <c r="H344" s="49">
        <f>DistMeetingQuota[[#This Row],[Actual]]/DistMeetingQuota[[#This Row],[Quota]]</f>
        <v>1</v>
      </c>
      <c r="I344" s="4"/>
      <c r="J344" s="2">
        <v>2</v>
      </c>
      <c r="K344" s="2"/>
      <c r="L344" s="2"/>
      <c r="M344" s="2"/>
      <c r="N344" s="2"/>
      <c r="O344" s="2"/>
      <c r="P344" s="4" t="s">
        <v>14</v>
      </c>
      <c r="Q344" s="2"/>
    </row>
    <row r="345" spans="1:17" s="109" customFormat="1">
      <c r="A345" s="4">
        <v>2075716</v>
      </c>
      <c r="B345" s="5" t="s">
        <v>426</v>
      </c>
      <c r="C345" s="4" t="s">
        <v>21</v>
      </c>
      <c r="D345" s="4" t="s">
        <v>11</v>
      </c>
      <c r="E345" s="53">
        <v>3</v>
      </c>
      <c r="F345" s="11">
        <f>SUM(DistMeetingQuota[[#This Row],[Sep]:[Feb]])</f>
        <v>1</v>
      </c>
      <c r="G345" s="11">
        <f>DistMeetingQuota[[#This Row],[Quota]]-DistMeetingQuota[[#This Row],[Actual]]</f>
        <v>2</v>
      </c>
      <c r="H345" s="49">
        <f>DistMeetingQuota[[#This Row],[Actual]]/DistMeetingQuota[[#This Row],[Quota]]</f>
        <v>0.33333333333333331</v>
      </c>
      <c r="I345" s="4"/>
      <c r="J345" s="2"/>
      <c r="K345" s="2"/>
      <c r="L345" s="2"/>
      <c r="M345" s="2">
        <v>1</v>
      </c>
      <c r="N345" s="2"/>
      <c r="O345" s="2"/>
      <c r="P345" s="4" t="s">
        <v>14</v>
      </c>
      <c r="Q345" s="2"/>
    </row>
    <row r="346" spans="1:17" s="109" customFormat="1">
      <c r="A346" s="4">
        <v>2075716</v>
      </c>
      <c r="B346" s="5" t="s">
        <v>426</v>
      </c>
      <c r="C346" s="4" t="s">
        <v>21</v>
      </c>
      <c r="D346" s="4" t="s">
        <v>13</v>
      </c>
      <c r="E346" s="53">
        <v>2</v>
      </c>
      <c r="F346" s="11">
        <f>SUM(DistMeetingQuota[[#This Row],[Sep]:[Feb]])</f>
        <v>2</v>
      </c>
      <c r="G346" s="11">
        <f>DistMeetingQuota[[#This Row],[Quota]]-DistMeetingQuota[[#This Row],[Actual]]</f>
        <v>0</v>
      </c>
      <c r="H346" s="49">
        <f>DistMeetingQuota[[#This Row],[Actual]]/DistMeetingQuota[[#This Row],[Quota]]</f>
        <v>1</v>
      </c>
      <c r="I346" s="4"/>
      <c r="J346" s="2"/>
      <c r="K346" s="2">
        <v>2</v>
      </c>
      <c r="L346" s="2"/>
      <c r="M346" s="2"/>
      <c r="N346" s="2"/>
      <c r="O346" s="2"/>
      <c r="P346" s="4" t="s">
        <v>14</v>
      </c>
      <c r="Q346" s="2"/>
    </row>
    <row r="347" spans="1:17" s="109" customFormat="1" ht="30">
      <c r="A347" s="4">
        <v>2018999</v>
      </c>
      <c r="B347" s="5" t="s">
        <v>276</v>
      </c>
      <c r="C347" s="4" t="s">
        <v>21</v>
      </c>
      <c r="D347" s="4" t="s">
        <v>11</v>
      </c>
      <c r="E347" s="53">
        <v>3</v>
      </c>
      <c r="F347" s="11">
        <f>SUM(DistMeetingQuota[[#This Row],[Sep]:[Feb]])</f>
        <v>1</v>
      </c>
      <c r="G347" s="11">
        <f>DistMeetingQuota[[#This Row],[Quota]]-DistMeetingQuota[[#This Row],[Actual]]</f>
        <v>2</v>
      </c>
      <c r="H347" s="49">
        <f>DistMeetingQuota[[#This Row],[Actual]]/DistMeetingQuota[[#This Row],[Quota]]</f>
        <v>0.33333333333333331</v>
      </c>
      <c r="I347" s="4"/>
      <c r="J347" s="2">
        <v>1</v>
      </c>
      <c r="K347" s="2"/>
      <c r="L347" s="2"/>
      <c r="M347" s="2"/>
      <c r="N347" s="2"/>
      <c r="O347" s="2"/>
      <c r="P347" s="4" t="s">
        <v>6</v>
      </c>
      <c r="Q347" s="2"/>
    </row>
    <row r="348" spans="1:17" s="109" customFormat="1" ht="30">
      <c r="A348" s="4">
        <v>2010180</v>
      </c>
      <c r="B348" s="5" t="s">
        <v>380</v>
      </c>
      <c r="C348" s="4" t="s">
        <v>22</v>
      </c>
      <c r="D348" s="4" t="s">
        <v>13</v>
      </c>
      <c r="E348" s="53">
        <v>3</v>
      </c>
      <c r="F348" s="11">
        <f>SUM(DistMeetingQuota[[#This Row],[Sep]:[Feb]])</f>
        <v>0</v>
      </c>
      <c r="G348" s="11">
        <f>DistMeetingQuota[[#This Row],[Quota]]-DistMeetingQuota[[#This Row],[Actual]]</f>
        <v>3</v>
      </c>
      <c r="H348" s="49">
        <f>DistMeetingQuota[[#This Row],[Actual]]/DistMeetingQuota[[#This Row],[Quota]]</f>
        <v>0</v>
      </c>
      <c r="I348" s="4"/>
      <c r="J348" s="2"/>
      <c r="K348" s="2"/>
      <c r="L348" s="2"/>
      <c r="M348" s="2"/>
      <c r="N348" s="2"/>
      <c r="O348" s="2"/>
      <c r="P348" s="4" t="s">
        <v>14</v>
      </c>
      <c r="Q348" s="2"/>
    </row>
    <row r="349" spans="1:17" s="109" customFormat="1" ht="30">
      <c r="A349" s="4">
        <v>2010180</v>
      </c>
      <c r="B349" s="5" t="s">
        <v>380</v>
      </c>
      <c r="C349" s="4" t="s">
        <v>22</v>
      </c>
      <c r="D349" s="4" t="s">
        <v>487</v>
      </c>
      <c r="E349" s="53">
        <v>2</v>
      </c>
      <c r="F349" s="11">
        <f>SUM(DistMeetingQuota[[#This Row],[Sep]:[Feb]])</f>
        <v>1</v>
      </c>
      <c r="G349" s="11">
        <f>DistMeetingQuota[[#This Row],[Quota]]-DistMeetingQuota[[#This Row],[Actual]]</f>
        <v>1</v>
      </c>
      <c r="H349" s="49">
        <f>DistMeetingQuota[[#This Row],[Actual]]/DistMeetingQuota[[#This Row],[Quota]]</f>
        <v>0.5</v>
      </c>
      <c r="I349" s="4"/>
      <c r="J349" s="2"/>
      <c r="K349" s="2"/>
      <c r="L349" s="2"/>
      <c r="M349" s="2">
        <v>1</v>
      </c>
      <c r="N349" s="2"/>
      <c r="O349" s="2"/>
      <c r="P349" s="4" t="s">
        <v>14</v>
      </c>
      <c r="Q349" s="2"/>
    </row>
    <row r="350" spans="1:17" s="109" customFormat="1" ht="30">
      <c r="A350" s="4">
        <v>2082488</v>
      </c>
      <c r="B350" s="5" t="s">
        <v>278</v>
      </c>
      <c r="C350" s="4" t="s">
        <v>33</v>
      </c>
      <c r="D350" s="4" t="s">
        <v>11</v>
      </c>
      <c r="E350" s="53">
        <v>2</v>
      </c>
      <c r="F350" s="11">
        <f>SUM(DistMeetingQuota[[#This Row],[Sep]:[Feb]])</f>
        <v>0</v>
      </c>
      <c r="G350" s="11">
        <f>DistMeetingQuota[[#This Row],[Quota]]-DistMeetingQuota[[#This Row],[Actual]]</f>
        <v>2</v>
      </c>
      <c r="H350" s="49">
        <f>DistMeetingQuota[[#This Row],[Actual]]/DistMeetingQuota[[#This Row],[Quota]]</f>
        <v>0</v>
      </c>
      <c r="I350" s="4"/>
      <c r="J350" s="2"/>
      <c r="K350" s="2"/>
      <c r="L350" s="2"/>
      <c r="M350" s="2"/>
      <c r="N350" s="2"/>
      <c r="O350" s="2"/>
      <c r="P350" s="4" t="s">
        <v>14</v>
      </c>
      <c r="Q350" s="2"/>
    </row>
    <row r="351" spans="1:17" s="109" customFormat="1" ht="30">
      <c r="A351" s="4">
        <v>2014640</v>
      </c>
      <c r="B351" s="5" t="s">
        <v>279</v>
      </c>
      <c r="C351" s="4" t="s">
        <v>21</v>
      </c>
      <c r="D351" s="4" t="s">
        <v>11</v>
      </c>
      <c r="E351" s="53">
        <v>3</v>
      </c>
      <c r="F351" s="11">
        <f>SUM(DistMeetingQuota[[#This Row],[Sep]:[Feb]])</f>
        <v>2</v>
      </c>
      <c r="G351" s="11">
        <f>DistMeetingQuota[[#This Row],[Quota]]-DistMeetingQuota[[#This Row],[Actual]]</f>
        <v>1</v>
      </c>
      <c r="H351" s="49">
        <f>DistMeetingQuota[[#This Row],[Actual]]/DistMeetingQuota[[#This Row],[Quota]]</f>
        <v>0.66666666666666663</v>
      </c>
      <c r="I351" s="4"/>
      <c r="J351" s="2"/>
      <c r="K351" s="2"/>
      <c r="L351" s="2"/>
      <c r="M351" s="2"/>
      <c r="N351" s="2">
        <v>2</v>
      </c>
      <c r="O351" s="2"/>
      <c r="P351" s="4" t="s">
        <v>14</v>
      </c>
      <c r="Q351" s="2"/>
    </row>
    <row r="352" spans="1:17" s="109" customFormat="1" ht="30">
      <c r="A352" s="4">
        <v>2014640</v>
      </c>
      <c r="B352" s="5" t="s">
        <v>279</v>
      </c>
      <c r="C352" s="4" t="s">
        <v>21</v>
      </c>
      <c r="D352" s="4" t="s">
        <v>13</v>
      </c>
      <c r="E352" s="53">
        <v>2</v>
      </c>
      <c r="F352" s="11">
        <f>SUM(DistMeetingQuota[[#This Row],[Sep]:[Feb]])</f>
        <v>0</v>
      </c>
      <c r="G352" s="11">
        <f>DistMeetingQuota[[#This Row],[Quota]]-DistMeetingQuota[[#This Row],[Actual]]</f>
        <v>2</v>
      </c>
      <c r="H352" s="49">
        <f>DistMeetingQuota[[#This Row],[Actual]]/DistMeetingQuota[[#This Row],[Quota]]</f>
        <v>0</v>
      </c>
      <c r="I352" s="4"/>
      <c r="J352" s="2"/>
      <c r="K352" s="2"/>
      <c r="L352" s="2"/>
      <c r="M352" s="2"/>
      <c r="N352" s="2"/>
      <c r="O352" s="2"/>
      <c r="P352" s="4" t="s">
        <v>14</v>
      </c>
      <c r="Q352" s="2"/>
    </row>
    <row r="353" spans="1:17" s="109" customFormat="1">
      <c r="A353" s="4">
        <v>2052337</v>
      </c>
      <c r="B353" s="5" t="s">
        <v>280</v>
      </c>
      <c r="C353" s="4" t="s">
        <v>21</v>
      </c>
      <c r="D353" s="4" t="s">
        <v>11</v>
      </c>
      <c r="E353" s="53">
        <v>3</v>
      </c>
      <c r="F353" s="11">
        <f>SUM(DistMeetingQuota[[#This Row],[Sep]:[Feb]])</f>
        <v>2</v>
      </c>
      <c r="G353" s="11">
        <f>DistMeetingQuota[[#This Row],[Quota]]-DistMeetingQuota[[#This Row],[Actual]]</f>
        <v>1</v>
      </c>
      <c r="H353" s="49">
        <f>DistMeetingQuota[[#This Row],[Actual]]/DistMeetingQuota[[#This Row],[Quota]]</f>
        <v>0.66666666666666663</v>
      </c>
      <c r="I353" s="4"/>
      <c r="J353" s="2"/>
      <c r="K353" s="2"/>
      <c r="L353" s="2"/>
      <c r="M353" s="2"/>
      <c r="N353" s="2">
        <v>2</v>
      </c>
      <c r="O353" s="2"/>
      <c r="P353" s="4" t="s">
        <v>55</v>
      </c>
      <c r="Q353" s="2"/>
    </row>
    <row r="354" spans="1:17" s="109" customFormat="1">
      <c r="A354" s="4">
        <v>2052337</v>
      </c>
      <c r="B354" s="5" t="s">
        <v>280</v>
      </c>
      <c r="C354" s="4" t="s">
        <v>21</v>
      </c>
      <c r="D354" s="4" t="s">
        <v>13</v>
      </c>
      <c r="E354" s="53">
        <v>2</v>
      </c>
      <c r="F354" s="11">
        <f>SUM(DistMeetingQuota[[#This Row],[Sep]:[Feb]])</f>
        <v>1</v>
      </c>
      <c r="G354" s="11">
        <f>DistMeetingQuota[[#This Row],[Quota]]-DistMeetingQuota[[#This Row],[Actual]]</f>
        <v>1</v>
      </c>
      <c r="H354" s="49">
        <f>DistMeetingQuota[[#This Row],[Actual]]/DistMeetingQuota[[#This Row],[Quota]]</f>
        <v>0.5</v>
      </c>
      <c r="I354" s="4">
        <v>1</v>
      </c>
      <c r="J354" s="2"/>
      <c r="K354" s="2"/>
      <c r="L354" s="2"/>
      <c r="M354" s="2"/>
      <c r="N354" s="2"/>
      <c r="O354" s="2"/>
      <c r="P354" s="4" t="s">
        <v>55</v>
      </c>
      <c r="Q354" s="2"/>
    </row>
    <row r="355" spans="1:17" s="109" customFormat="1">
      <c r="A355" s="4">
        <v>2037942</v>
      </c>
      <c r="B355" s="5" t="s">
        <v>281</v>
      </c>
      <c r="C355" s="4" t="s">
        <v>288</v>
      </c>
      <c r="D355" s="4" t="s">
        <v>11</v>
      </c>
      <c r="E355" s="53">
        <v>2</v>
      </c>
      <c r="F355" s="11">
        <f>SUM(DistMeetingQuota[[#This Row],[Sep]:[Feb]])</f>
        <v>2</v>
      </c>
      <c r="G355" s="11">
        <f>DistMeetingQuota[[#This Row],[Quota]]-DistMeetingQuota[[#This Row],[Actual]]</f>
        <v>0</v>
      </c>
      <c r="H355" s="49">
        <f>DistMeetingQuota[[#This Row],[Actual]]/DistMeetingQuota[[#This Row],[Quota]]</f>
        <v>1</v>
      </c>
      <c r="I355" s="4">
        <v>1</v>
      </c>
      <c r="J355" s="2"/>
      <c r="K355" s="2"/>
      <c r="L355" s="2">
        <v>1</v>
      </c>
      <c r="M355" s="2"/>
      <c r="N355" s="2"/>
      <c r="O355" s="2"/>
      <c r="P355" s="4" t="s">
        <v>14</v>
      </c>
      <c r="Q355" s="2"/>
    </row>
    <row r="356" spans="1:17" s="109" customFormat="1" ht="30">
      <c r="A356" s="4">
        <v>2100997</v>
      </c>
      <c r="B356" s="5" t="s">
        <v>282</v>
      </c>
      <c r="C356" s="4" t="s">
        <v>288</v>
      </c>
      <c r="D356" s="4" t="s">
        <v>11</v>
      </c>
      <c r="E356" s="53">
        <v>2</v>
      </c>
      <c r="F356" s="11">
        <f>SUM(DistMeetingQuota[[#This Row],[Sep]:[Feb]])</f>
        <v>0</v>
      </c>
      <c r="G356" s="11">
        <f>DistMeetingQuota[[#This Row],[Quota]]-DistMeetingQuota[[#This Row],[Actual]]</f>
        <v>2</v>
      </c>
      <c r="H356" s="49">
        <f>DistMeetingQuota[[#This Row],[Actual]]/DistMeetingQuota[[#This Row],[Quota]]</f>
        <v>0</v>
      </c>
      <c r="I356" s="4"/>
      <c r="J356" s="2"/>
      <c r="K356" s="2"/>
      <c r="L356" s="2"/>
      <c r="M356" s="2"/>
      <c r="N356" s="2"/>
      <c r="O356" s="2"/>
      <c r="P356" s="4" t="s">
        <v>14</v>
      </c>
      <c r="Q356" s="2"/>
    </row>
    <row r="357" spans="1:17" s="109" customFormat="1" ht="30">
      <c r="A357" s="4">
        <v>2119821</v>
      </c>
      <c r="B357" s="5" t="s">
        <v>283</v>
      </c>
      <c r="C357" s="4" t="s">
        <v>21</v>
      </c>
      <c r="D357" s="4" t="s">
        <v>11</v>
      </c>
      <c r="E357" s="53">
        <v>3</v>
      </c>
      <c r="F357" s="11">
        <f>SUM(DistMeetingQuota[[#This Row],[Sep]:[Feb]])</f>
        <v>1</v>
      </c>
      <c r="G357" s="11">
        <f>DistMeetingQuota[[#This Row],[Quota]]-DistMeetingQuota[[#This Row],[Actual]]</f>
        <v>2</v>
      </c>
      <c r="H357" s="49">
        <f>DistMeetingQuota[[#This Row],[Actual]]/DistMeetingQuota[[#This Row],[Quota]]</f>
        <v>0.33333333333333331</v>
      </c>
      <c r="I357" s="4"/>
      <c r="J357" s="2"/>
      <c r="K357" s="2"/>
      <c r="L357" s="2"/>
      <c r="M357" s="2">
        <v>1</v>
      </c>
      <c r="N357" s="2"/>
      <c r="O357" s="2"/>
      <c r="P357" s="4" t="s">
        <v>14</v>
      </c>
      <c r="Q357" s="2"/>
    </row>
    <row r="358" spans="1:17" s="109" customFormat="1" ht="30">
      <c r="A358" s="4">
        <v>2119821</v>
      </c>
      <c r="B358" s="5" t="s">
        <v>283</v>
      </c>
      <c r="C358" s="4" t="s">
        <v>21</v>
      </c>
      <c r="D358" s="4" t="s">
        <v>13</v>
      </c>
      <c r="E358" s="53">
        <v>2</v>
      </c>
      <c r="F358" s="11">
        <f>SUM(DistMeetingQuota[[#This Row],[Sep]:[Feb]])</f>
        <v>1</v>
      </c>
      <c r="G358" s="11">
        <f>DistMeetingQuota[[#This Row],[Quota]]-DistMeetingQuota[[#This Row],[Actual]]</f>
        <v>1</v>
      </c>
      <c r="H358" s="49">
        <f>DistMeetingQuota[[#This Row],[Actual]]/DistMeetingQuota[[#This Row],[Quota]]</f>
        <v>0.5</v>
      </c>
      <c r="I358" s="4">
        <v>1</v>
      </c>
      <c r="J358" s="2"/>
      <c r="K358" s="2"/>
      <c r="L358" s="2"/>
      <c r="M358" s="2"/>
      <c r="N358" s="2"/>
      <c r="O358" s="2"/>
      <c r="P358" s="4" t="s">
        <v>14</v>
      </c>
      <c r="Q358" s="2"/>
    </row>
    <row r="359" spans="1:17" s="109" customFormat="1" ht="30">
      <c r="A359" s="4">
        <v>2180888</v>
      </c>
      <c r="B359" s="5" t="s">
        <v>332</v>
      </c>
      <c r="C359" s="4" t="s">
        <v>21</v>
      </c>
      <c r="D359" s="4" t="s">
        <v>11</v>
      </c>
      <c r="E359" s="53">
        <v>3</v>
      </c>
      <c r="F359" s="11">
        <f>SUM(DistMeetingQuota[[#This Row],[Sep]:[Feb]])</f>
        <v>3</v>
      </c>
      <c r="G359" s="11">
        <f>DistMeetingQuota[[#This Row],[Quota]]-DistMeetingQuota[[#This Row],[Actual]]</f>
        <v>0</v>
      </c>
      <c r="H359" s="49">
        <f>DistMeetingQuota[[#This Row],[Actual]]/DistMeetingQuota[[#This Row],[Quota]]</f>
        <v>1</v>
      </c>
      <c r="I359" s="4"/>
      <c r="J359" s="2"/>
      <c r="K359" s="2"/>
      <c r="L359" s="2"/>
      <c r="M359" s="2">
        <v>1</v>
      </c>
      <c r="N359" s="2">
        <v>2</v>
      </c>
      <c r="O359" s="2"/>
      <c r="P359" s="4" t="s">
        <v>10</v>
      </c>
      <c r="Q359" s="2"/>
    </row>
    <row r="360" spans="1:17" s="109" customFormat="1" ht="30">
      <c r="A360" s="4">
        <v>2180888</v>
      </c>
      <c r="B360" s="5" t="s">
        <v>332</v>
      </c>
      <c r="C360" s="4" t="s">
        <v>21</v>
      </c>
      <c r="D360" s="4" t="s">
        <v>13</v>
      </c>
      <c r="E360" s="53">
        <v>2</v>
      </c>
      <c r="F360" s="11">
        <f>SUM(DistMeetingQuota[[#This Row],[Sep]:[Feb]])</f>
        <v>2</v>
      </c>
      <c r="G360" s="11">
        <f>DistMeetingQuota[[#This Row],[Quota]]-DistMeetingQuota[[#This Row],[Actual]]</f>
        <v>0</v>
      </c>
      <c r="H360" s="49">
        <f>DistMeetingQuota[[#This Row],[Actual]]/DistMeetingQuota[[#This Row],[Quota]]</f>
        <v>1</v>
      </c>
      <c r="I360" s="4">
        <v>2</v>
      </c>
      <c r="J360" s="2"/>
      <c r="K360" s="2"/>
      <c r="L360" s="2"/>
      <c r="M360" s="2"/>
      <c r="N360" s="2"/>
      <c r="O360" s="2"/>
      <c r="P360" s="4" t="s">
        <v>10</v>
      </c>
      <c r="Q360" s="2"/>
    </row>
    <row r="361" spans="1:17" s="109" customFormat="1">
      <c r="A361" s="4">
        <v>2081561</v>
      </c>
      <c r="B361" s="5" t="s">
        <v>337</v>
      </c>
      <c r="C361" s="4" t="s">
        <v>19</v>
      </c>
      <c r="D361" s="4" t="s">
        <v>11</v>
      </c>
      <c r="E361" s="53">
        <v>2</v>
      </c>
      <c r="F361" s="11">
        <f>SUM(DistMeetingQuota[[#This Row],[Sep]:[Feb]])</f>
        <v>0</v>
      </c>
      <c r="G361" s="11">
        <f>DistMeetingQuota[[#This Row],[Quota]]-DistMeetingQuota[[#This Row],[Actual]]</f>
        <v>2</v>
      </c>
      <c r="H361" s="49">
        <f>DistMeetingQuota[[#This Row],[Actual]]/DistMeetingQuota[[#This Row],[Quota]]</f>
        <v>0</v>
      </c>
      <c r="I361" s="4"/>
      <c r="J361" s="2"/>
      <c r="K361" s="2"/>
      <c r="L361" s="2"/>
      <c r="M361" s="2"/>
      <c r="N361" s="2"/>
      <c r="O361" s="2"/>
      <c r="P361" s="4" t="s">
        <v>14</v>
      </c>
      <c r="Q361" s="2"/>
    </row>
    <row r="362" spans="1:17" s="109" customFormat="1">
      <c r="A362" s="4">
        <v>2030053</v>
      </c>
      <c r="B362" s="5" t="s">
        <v>284</v>
      </c>
      <c r="C362" s="4" t="s">
        <v>21</v>
      </c>
      <c r="D362" s="4" t="s">
        <v>11</v>
      </c>
      <c r="E362" s="53">
        <v>3</v>
      </c>
      <c r="F362" s="11">
        <f>SUM(DistMeetingQuota[[#This Row],[Sep]:[Feb]])</f>
        <v>2</v>
      </c>
      <c r="G362" s="11">
        <f>DistMeetingQuota[[#This Row],[Quota]]-DistMeetingQuota[[#This Row],[Actual]]</f>
        <v>1</v>
      </c>
      <c r="H362" s="49">
        <f>DistMeetingQuota[[#This Row],[Actual]]/DistMeetingQuota[[#This Row],[Quota]]</f>
        <v>0.66666666666666663</v>
      </c>
      <c r="I362" s="4"/>
      <c r="J362" s="2"/>
      <c r="K362" s="2"/>
      <c r="L362" s="2"/>
      <c r="M362" s="2">
        <v>2</v>
      </c>
      <c r="N362" s="2"/>
      <c r="O362" s="2"/>
      <c r="P362" s="140" t="s">
        <v>55</v>
      </c>
      <c r="Q362" s="2"/>
    </row>
    <row r="363" spans="1:17" s="109" customFormat="1">
      <c r="A363" s="4">
        <v>2030053</v>
      </c>
      <c r="B363" s="5" t="s">
        <v>284</v>
      </c>
      <c r="C363" s="4" t="s">
        <v>21</v>
      </c>
      <c r="D363" s="4" t="s">
        <v>13</v>
      </c>
      <c r="E363" s="53">
        <v>2</v>
      </c>
      <c r="F363" s="11">
        <f>SUM(DistMeetingQuota[[#This Row],[Sep]:[Feb]])</f>
        <v>1</v>
      </c>
      <c r="G363" s="11">
        <f>DistMeetingQuota[[#This Row],[Quota]]-DistMeetingQuota[[#This Row],[Actual]]</f>
        <v>1</v>
      </c>
      <c r="H363" s="49">
        <f>DistMeetingQuota[[#This Row],[Actual]]/DistMeetingQuota[[#This Row],[Quota]]</f>
        <v>0.5</v>
      </c>
      <c r="I363" s="4"/>
      <c r="J363" s="2"/>
      <c r="K363" s="2">
        <v>1</v>
      </c>
      <c r="L363" s="2"/>
      <c r="M363" s="2"/>
      <c r="N363" s="2"/>
      <c r="O363" s="2"/>
      <c r="P363" s="140" t="s">
        <v>55</v>
      </c>
      <c r="Q363" s="2"/>
    </row>
    <row r="364" spans="1:17" s="109" customFormat="1" ht="30">
      <c r="A364" s="78">
        <v>2193281</v>
      </c>
      <c r="B364" s="199" t="s">
        <v>341</v>
      </c>
      <c r="C364" s="78" t="s">
        <v>19</v>
      </c>
      <c r="D364" s="4" t="s">
        <v>5</v>
      </c>
      <c r="E364" s="79">
        <v>24</v>
      </c>
      <c r="F364" s="11">
        <f>SUM(DistMeetingQuota[[#This Row],[Sep]:[Feb]])</f>
        <v>20</v>
      </c>
      <c r="G364" s="11">
        <f>DistMeetingQuota[[#This Row],[Quota]]-DistMeetingQuota[[#This Row],[Actual]]</f>
        <v>4</v>
      </c>
      <c r="H364" s="80">
        <f>DistMeetingQuota[[#This Row],[Actual]]/DistMeetingQuota[[#This Row],[Quota]]</f>
        <v>0.83333333333333337</v>
      </c>
      <c r="I364" s="78">
        <v>4</v>
      </c>
      <c r="J364" s="6">
        <v>4</v>
      </c>
      <c r="K364" s="6">
        <v>8</v>
      </c>
      <c r="L364" s="6">
        <v>4</v>
      </c>
      <c r="M364" s="6"/>
      <c r="N364" s="6"/>
      <c r="O364" s="6"/>
      <c r="P364" s="78" t="s">
        <v>6</v>
      </c>
      <c r="Q364" s="2"/>
    </row>
    <row r="365" spans="1:17" s="109" customFormat="1" ht="30">
      <c r="A365" s="78">
        <v>2193281</v>
      </c>
      <c r="B365" s="92" t="s">
        <v>341</v>
      </c>
      <c r="C365" s="78" t="s">
        <v>19</v>
      </c>
      <c r="D365" s="4" t="s">
        <v>11</v>
      </c>
      <c r="E365" s="79">
        <v>2</v>
      </c>
      <c r="F365" s="11">
        <f>SUM(DistMeetingQuota[[#This Row],[Sep]:[Feb]])</f>
        <v>2</v>
      </c>
      <c r="G365" s="11">
        <f>DistMeetingQuota[[#This Row],[Quota]]-DistMeetingQuota[[#This Row],[Actual]]</f>
        <v>0</v>
      </c>
      <c r="H365" s="80">
        <f>DistMeetingQuota[[#This Row],[Actual]]/DistMeetingQuota[[#This Row],[Quota]]</f>
        <v>1</v>
      </c>
      <c r="I365" s="78"/>
      <c r="J365" s="6">
        <v>1</v>
      </c>
      <c r="K365" s="6">
        <v>1</v>
      </c>
      <c r="L365" s="6"/>
      <c r="M365" s="6"/>
      <c r="N365" s="6"/>
      <c r="O365" s="6"/>
      <c r="P365" s="78" t="s">
        <v>6</v>
      </c>
      <c r="Q365" s="2"/>
    </row>
    <row r="366" spans="1:17" s="109" customFormat="1" ht="30">
      <c r="A366" s="78">
        <v>2109174</v>
      </c>
      <c r="B366" s="92" t="s">
        <v>342</v>
      </c>
      <c r="C366" s="78" t="s">
        <v>19</v>
      </c>
      <c r="D366" s="4" t="s">
        <v>11</v>
      </c>
      <c r="E366" s="79">
        <v>2</v>
      </c>
      <c r="F366" s="11">
        <f>SUM(DistMeetingQuota[[#This Row],[Sep]:[Feb]])</f>
        <v>0</v>
      </c>
      <c r="G366" s="11">
        <f>DistMeetingQuota[[#This Row],[Quota]]-DistMeetingQuota[[#This Row],[Actual]]</f>
        <v>2</v>
      </c>
      <c r="H366" s="80">
        <f>DistMeetingQuota[[#This Row],[Actual]]/DistMeetingQuota[[#This Row],[Quota]]</f>
        <v>0</v>
      </c>
      <c r="I366" s="78"/>
      <c r="J366" s="6"/>
      <c r="K366" s="6"/>
      <c r="L366" s="6"/>
      <c r="M366" s="6"/>
      <c r="N366" s="6"/>
      <c r="O366" s="6"/>
      <c r="P366" s="78" t="s">
        <v>6</v>
      </c>
      <c r="Q366" s="2"/>
    </row>
    <row r="367" spans="1:17" s="109" customFormat="1">
      <c r="A367" s="78">
        <v>2076605</v>
      </c>
      <c r="B367" s="92" t="s">
        <v>344</v>
      </c>
      <c r="C367" s="78" t="s">
        <v>19</v>
      </c>
      <c r="D367" s="4" t="s">
        <v>11</v>
      </c>
      <c r="E367" s="79">
        <v>2</v>
      </c>
      <c r="F367" s="11">
        <f>SUM(DistMeetingQuota[[#This Row],[Sep]:[Feb]])</f>
        <v>0</v>
      </c>
      <c r="G367" s="11">
        <f>DistMeetingQuota[[#This Row],[Quota]]-DistMeetingQuota[[#This Row],[Actual]]</f>
        <v>2</v>
      </c>
      <c r="H367" s="80">
        <f>DistMeetingQuota[[#This Row],[Actual]]/DistMeetingQuota[[#This Row],[Quota]]</f>
        <v>0</v>
      </c>
      <c r="I367" s="78"/>
      <c r="J367" s="6"/>
      <c r="K367" s="6"/>
      <c r="L367" s="6"/>
      <c r="M367" s="6"/>
      <c r="N367" s="6"/>
      <c r="O367" s="6"/>
      <c r="P367" s="78" t="s">
        <v>10</v>
      </c>
      <c r="Q367" s="2"/>
    </row>
    <row r="368" spans="1:17" s="109" customFormat="1" ht="30">
      <c r="A368" s="78">
        <v>2140675</v>
      </c>
      <c r="B368" s="92" t="s">
        <v>345</v>
      </c>
      <c r="C368" s="78" t="s">
        <v>19</v>
      </c>
      <c r="D368" s="4" t="s">
        <v>11</v>
      </c>
      <c r="E368" s="79">
        <v>2</v>
      </c>
      <c r="F368" s="11">
        <f>SUM(DistMeetingQuota[[#This Row],[Sep]:[Feb]])</f>
        <v>0</v>
      </c>
      <c r="G368" s="11">
        <f>DistMeetingQuota[[#This Row],[Quota]]-DistMeetingQuota[[#This Row],[Actual]]</f>
        <v>2</v>
      </c>
      <c r="H368" s="80">
        <f>DistMeetingQuota[[#This Row],[Actual]]/DistMeetingQuota[[#This Row],[Quota]]</f>
        <v>0</v>
      </c>
      <c r="I368" s="78"/>
      <c r="J368" s="6"/>
      <c r="K368" s="6"/>
      <c r="L368" s="6"/>
      <c r="M368" s="6"/>
      <c r="N368" s="6"/>
      <c r="O368" s="6"/>
      <c r="P368" s="78" t="s">
        <v>6</v>
      </c>
      <c r="Q368" s="2"/>
    </row>
    <row r="369" spans="1:17" s="109" customFormat="1">
      <c r="A369" s="78">
        <v>2167255</v>
      </c>
      <c r="B369" s="92" t="s">
        <v>346</v>
      </c>
      <c r="C369" s="78" t="s">
        <v>19</v>
      </c>
      <c r="D369" s="4" t="s">
        <v>11</v>
      </c>
      <c r="E369" s="79">
        <v>2</v>
      </c>
      <c r="F369" s="11">
        <f>SUM(DistMeetingQuota[[#This Row],[Sep]:[Feb]])</f>
        <v>0</v>
      </c>
      <c r="G369" s="11">
        <f>DistMeetingQuota[[#This Row],[Quota]]-DistMeetingQuota[[#This Row],[Actual]]</f>
        <v>2</v>
      </c>
      <c r="H369" s="80">
        <f>DistMeetingQuota[[#This Row],[Actual]]/DistMeetingQuota[[#This Row],[Quota]]</f>
        <v>0</v>
      </c>
      <c r="I369" s="78"/>
      <c r="J369" s="6"/>
      <c r="K369" s="6"/>
      <c r="L369" s="6"/>
      <c r="M369" s="6"/>
      <c r="N369" s="6"/>
      <c r="O369" s="6"/>
      <c r="P369" s="78" t="s">
        <v>57</v>
      </c>
      <c r="Q369" s="2"/>
    </row>
    <row r="370" spans="1:17" s="109" customFormat="1">
      <c r="A370" s="78">
        <v>2088553</v>
      </c>
      <c r="B370" s="92" t="s">
        <v>349</v>
      </c>
      <c r="C370" s="78" t="s">
        <v>19</v>
      </c>
      <c r="D370" s="4" t="s">
        <v>11</v>
      </c>
      <c r="E370" s="79">
        <v>2</v>
      </c>
      <c r="F370" s="11">
        <f>SUM(DistMeetingQuota[[#This Row],[Sep]:[Feb]])</f>
        <v>1</v>
      </c>
      <c r="G370" s="11">
        <f>DistMeetingQuota[[#This Row],[Quota]]-DistMeetingQuota[[#This Row],[Actual]]</f>
        <v>1</v>
      </c>
      <c r="H370" s="80">
        <f>DistMeetingQuota[[#This Row],[Actual]]/DistMeetingQuota[[#This Row],[Quota]]</f>
        <v>0.5</v>
      </c>
      <c r="I370" s="78"/>
      <c r="J370" s="6"/>
      <c r="K370" s="6"/>
      <c r="L370" s="6">
        <v>1</v>
      </c>
      <c r="M370" s="6"/>
      <c r="N370" s="6"/>
      <c r="O370" s="6"/>
      <c r="P370" s="78" t="s">
        <v>10</v>
      </c>
      <c r="Q370" s="2"/>
    </row>
    <row r="371" spans="1:17" s="109" customFormat="1">
      <c r="A371" s="78">
        <v>2089926</v>
      </c>
      <c r="B371" s="92" t="s">
        <v>351</v>
      </c>
      <c r="C371" s="78" t="s">
        <v>19</v>
      </c>
      <c r="D371" s="4" t="s">
        <v>11</v>
      </c>
      <c r="E371" s="79">
        <v>2</v>
      </c>
      <c r="F371" s="11">
        <f>SUM(DistMeetingQuota[[#This Row],[Sep]:[Feb]])</f>
        <v>0</v>
      </c>
      <c r="G371" s="11">
        <f>DistMeetingQuota[[#This Row],[Quota]]-DistMeetingQuota[[#This Row],[Actual]]</f>
        <v>2</v>
      </c>
      <c r="H371" s="80">
        <f>DistMeetingQuota[[#This Row],[Actual]]/DistMeetingQuota[[#This Row],[Quota]]</f>
        <v>0</v>
      </c>
      <c r="I371" s="78"/>
      <c r="J371" s="6"/>
      <c r="K371" s="6"/>
      <c r="L371" s="6"/>
      <c r="M371" s="6"/>
      <c r="N371" s="6"/>
      <c r="O371" s="6"/>
      <c r="P371" s="78" t="s">
        <v>57</v>
      </c>
      <c r="Q371" s="2"/>
    </row>
    <row r="372" spans="1:17" s="109" customFormat="1">
      <c r="A372" s="78">
        <v>2110208</v>
      </c>
      <c r="B372" s="92" t="s">
        <v>352</v>
      </c>
      <c r="C372" s="78" t="s">
        <v>33</v>
      </c>
      <c r="D372" s="4" t="s">
        <v>11</v>
      </c>
      <c r="E372" s="79">
        <v>2</v>
      </c>
      <c r="F372" s="11">
        <f>SUM(DistMeetingQuota[[#This Row],[Sep]:[Feb]])</f>
        <v>0</v>
      </c>
      <c r="G372" s="11">
        <f>DistMeetingQuota[[#This Row],[Quota]]-DistMeetingQuota[[#This Row],[Actual]]</f>
        <v>2</v>
      </c>
      <c r="H372" s="80">
        <f>DistMeetingQuota[[#This Row],[Actual]]/DistMeetingQuota[[#This Row],[Quota]]</f>
        <v>0</v>
      </c>
      <c r="I372" s="78"/>
      <c r="J372" s="6"/>
      <c r="K372" s="6"/>
      <c r="L372" s="6"/>
      <c r="M372" s="6"/>
      <c r="N372" s="6"/>
      <c r="O372" s="6"/>
      <c r="P372" s="78" t="s">
        <v>14</v>
      </c>
      <c r="Q372" s="2"/>
    </row>
    <row r="373" spans="1:17" s="109" customFormat="1">
      <c r="A373" s="78">
        <v>2009812</v>
      </c>
      <c r="B373" s="92" t="s">
        <v>353</v>
      </c>
      <c r="C373" s="78" t="s">
        <v>36</v>
      </c>
      <c r="D373" s="4" t="s">
        <v>11</v>
      </c>
      <c r="E373" s="79">
        <v>2</v>
      </c>
      <c r="F373" s="11">
        <f>SUM(DistMeetingQuota[[#This Row],[Sep]:[Feb]])</f>
        <v>1</v>
      </c>
      <c r="G373" s="11">
        <f>DistMeetingQuota[[#This Row],[Quota]]-DistMeetingQuota[[#This Row],[Actual]]</f>
        <v>1</v>
      </c>
      <c r="H373" s="80">
        <f>DistMeetingQuota[[#This Row],[Actual]]/DistMeetingQuota[[#This Row],[Quota]]</f>
        <v>0.5</v>
      </c>
      <c r="I373" s="78"/>
      <c r="J373" s="6"/>
      <c r="K373" s="6">
        <v>1</v>
      </c>
      <c r="L373" s="6"/>
      <c r="M373" s="6"/>
      <c r="N373" s="6"/>
      <c r="O373" s="6"/>
      <c r="P373" s="78" t="s">
        <v>10</v>
      </c>
      <c r="Q373" s="2"/>
    </row>
    <row r="374" spans="1:17" s="109" customFormat="1" ht="30">
      <c r="A374" s="78">
        <v>2203706</v>
      </c>
      <c r="B374" s="92" t="s">
        <v>354</v>
      </c>
      <c r="C374" s="78" t="s">
        <v>19</v>
      </c>
      <c r="D374" s="4" t="s">
        <v>11</v>
      </c>
      <c r="E374" s="79">
        <v>2</v>
      </c>
      <c r="F374" s="11">
        <f>SUM(DistMeetingQuota[[#This Row],[Sep]:[Feb]])</f>
        <v>2</v>
      </c>
      <c r="G374" s="11">
        <f>DistMeetingQuota[[#This Row],[Quota]]-DistMeetingQuota[[#This Row],[Actual]]</f>
        <v>0</v>
      </c>
      <c r="H374" s="80">
        <f>DistMeetingQuota[[#This Row],[Actual]]/DistMeetingQuota[[#This Row],[Quota]]</f>
        <v>1</v>
      </c>
      <c r="I374" s="78">
        <v>1</v>
      </c>
      <c r="J374" s="6"/>
      <c r="K374" s="6"/>
      <c r="L374" s="6">
        <v>1</v>
      </c>
      <c r="M374" s="6"/>
      <c r="N374" s="6"/>
      <c r="O374" s="6"/>
      <c r="P374" s="78" t="s">
        <v>56</v>
      </c>
      <c r="Q374" s="2"/>
    </row>
    <row r="375" spans="1:17" s="109" customFormat="1">
      <c r="A375" s="78">
        <v>2110719</v>
      </c>
      <c r="B375" s="92" t="s">
        <v>358</v>
      </c>
      <c r="C375" s="78" t="s">
        <v>19</v>
      </c>
      <c r="D375" s="4" t="s">
        <v>5</v>
      </c>
      <c r="E375" s="79">
        <v>24</v>
      </c>
      <c r="F375" s="11">
        <f>SUM(DistMeetingQuota[[#This Row],[Sep]:[Feb]])</f>
        <v>0</v>
      </c>
      <c r="G375" s="11">
        <f>DistMeetingQuota[[#This Row],[Quota]]-DistMeetingQuota[[#This Row],[Actual]]</f>
        <v>24</v>
      </c>
      <c r="H375" s="80">
        <f>DistMeetingQuota[[#This Row],[Actual]]/DistMeetingQuota[[#This Row],[Quota]]</f>
        <v>0</v>
      </c>
      <c r="I375" s="78"/>
      <c r="J375" s="6"/>
      <c r="K375" s="6"/>
      <c r="L375" s="6"/>
      <c r="M375" s="6"/>
      <c r="N375" s="6"/>
      <c r="O375" s="6"/>
      <c r="P375" s="78" t="s">
        <v>4</v>
      </c>
      <c r="Q375" s="2"/>
    </row>
    <row r="376" spans="1:17" s="109" customFormat="1">
      <c r="A376" s="78">
        <v>2110719</v>
      </c>
      <c r="B376" s="92" t="s">
        <v>358</v>
      </c>
      <c r="C376" s="78" t="s">
        <v>19</v>
      </c>
      <c r="D376" s="4" t="s">
        <v>11</v>
      </c>
      <c r="E376" s="79">
        <v>2</v>
      </c>
      <c r="F376" s="11">
        <f>SUM(DistMeetingQuota[[#This Row],[Sep]:[Feb]])</f>
        <v>0</v>
      </c>
      <c r="G376" s="11">
        <f>DistMeetingQuota[[#This Row],[Quota]]-DistMeetingQuota[[#This Row],[Actual]]</f>
        <v>2</v>
      </c>
      <c r="H376" s="80">
        <f>DistMeetingQuota[[#This Row],[Actual]]/DistMeetingQuota[[#This Row],[Quota]]</f>
        <v>0</v>
      </c>
      <c r="I376" s="78"/>
      <c r="J376" s="6"/>
      <c r="K376" s="6"/>
      <c r="L376" s="6"/>
      <c r="M376" s="6"/>
      <c r="N376" s="6"/>
      <c r="O376" s="6"/>
      <c r="P376" s="78" t="s">
        <v>4</v>
      </c>
      <c r="Q376" s="2"/>
    </row>
    <row r="377" spans="1:17" s="109" customFormat="1">
      <c r="A377" s="78">
        <v>2099391</v>
      </c>
      <c r="B377" s="92" t="s">
        <v>359</v>
      </c>
      <c r="C377" s="78" t="s">
        <v>19</v>
      </c>
      <c r="D377" s="4" t="s">
        <v>5</v>
      </c>
      <c r="E377" s="79">
        <v>24</v>
      </c>
      <c r="F377" s="11">
        <f>SUM(DistMeetingQuota[[#This Row],[Sep]:[Feb]])</f>
        <v>0</v>
      </c>
      <c r="G377" s="11">
        <f>DistMeetingQuota[[#This Row],[Quota]]-DistMeetingQuota[[#This Row],[Actual]]</f>
        <v>24</v>
      </c>
      <c r="H377" s="80">
        <f>DistMeetingQuota[[#This Row],[Actual]]/DistMeetingQuota[[#This Row],[Quota]]</f>
        <v>0</v>
      </c>
      <c r="I377" s="78"/>
      <c r="J377" s="6"/>
      <c r="K377" s="6"/>
      <c r="L377" s="6"/>
      <c r="M377" s="6"/>
      <c r="N377" s="6"/>
      <c r="O377" s="6"/>
      <c r="P377" s="78" t="s">
        <v>67</v>
      </c>
      <c r="Q377" s="2"/>
    </row>
    <row r="378" spans="1:17" s="109" customFormat="1">
      <c r="A378" s="78">
        <v>2099391</v>
      </c>
      <c r="B378" s="92" t="s">
        <v>359</v>
      </c>
      <c r="C378" s="78" t="s">
        <v>19</v>
      </c>
      <c r="D378" s="4" t="s">
        <v>11</v>
      </c>
      <c r="E378" s="79">
        <v>2</v>
      </c>
      <c r="F378" s="11">
        <f>SUM(DistMeetingQuota[[#This Row],[Sep]:[Feb]])</f>
        <v>0</v>
      </c>
      <c r="G378" s="11">
        <f>DistMeetingQuota[[#This Row],[Quota]]-DistMeetingQuota[[#This Row],[Actual]]</f>
        <v>2</v>
      </c>
      <c r="H378" s="80">
        <f>DistMeetingQuota[[#This Row],[Actual]]/DistMeetingQuota[[#This Row],[Quota]]</f>
        <v>0</v>
      </c>
      <c r="I378" s="78"/>
      <c r="J378" s="6"/>
      <c r="K378" s="6"/>
      <c r="L378" s="6"/>
      <c r="M378" s="6"/>
      <c r="N378" s="6"/>
      <c r="O378" s="6"/>
      <c r="P378" s="78" t="s">
        <v>67</v>
      </c>
      <c r="Q378" s="2"/>
    </row>
    <row r="379" spans="1:17" s="109" customFormat="1" ht="30">
      <c r="A379" s="78">
        <v>2020869</v>
      </c>
      <c r="B379" s="92" t="s">
        <v>277</v>
      </c>
      <c r="C379" s="78" t="s">
        <v>33</v>
      </c>
      <c r="D379" s="4" t="s">
        <v>5</v>
      </c>
      <c r="E379" s="79">
        <v>24</v>
      </c>
      <c r="F379" s="11">
        <f>SUM(DistMeetingQuota[[#This Row],[Sep]:[Feb]])</f>
        <v>0</v>
      </c>
      <c r="G379" s="11">
        <f>DistMeetingQuota[[#This Row],[Quota]]-DistMeetingQuota[[#This Row],[Actual]]</f>
        <v>24</v>
      </c>
      <c r="H379" s="80">
        <f>DistMeetingQuota[[#This Row],[Actual]]/DistMeetingQuota[[#This Row],[Quota]]</f>
        <v>0</v>
      </c>
      <c r="I379" s="78"/>
      <c r="J379" s="6"/>
      <c r="K379" s="6"/>
      <c r="L379" s="6"/>
      <c r="M379" s="6"/>
      <c r="N379" s="6"/>
      <c r="O379" s="6"/>
      <c r="P379" s="78" t="s">
        <v>14</v>
      </c>
      <c r="Q379" s="2"/>
    </row>
    <row r="380" spans="1:17" s="109" customFormat="1" ht="30">
      <c r="A380" s="78">
        <v>2171496</v>
      </c>
      <c r="B380" s="92" t="s">
        <v>361</v>
      </c>
      <c r="C380" s="78" t="s">
        <v>19</v>
      </c>
      <c r="D380" s="4" t="s">
        <v>11</v>
      </c>
      <c r="E380" s="79">
        <v>2</v>
      </c>
      <c r="F380" s="11">
        <f>SUM(DistMeetingQuota[[#This Row],[Sep]:[Feb]])</f>
        <v>2</v>
      </c>
      <c r="G380" s="11">
        <f>DistMeetingQuota[[#This Row],[Quota]]-DistMeetingQuota[[#This Row],[Actual]]</f>
        <v>0</v>
      </c>
      <c r="H380" s="80">
        <f>DistMeetingQuota[[#This Row],[Actual]]/DistMeetingQuota[[#This Row],[Quota]]</f>
        <v>1</v>
      </c>
      <c r="I380" s="78"/>
      <c r="J380" s="6">
        <v>2</v>
      </c>
      <c r="K380" s="6"/>
      <c r="L380" s="6"/>
      <c r="M380" s="6"/>
      <c r="N380" s="6"/>
      <c r="O380" s="6"/>
      <c r="P380" s="78" t="s">
        <v>14</v>
      </c>
      <c r="Q380" s="2"/>
    </row>
    <row r="381" spans="1:17" s="109" customFormat="1">
      <c r="A381" s="78">
        <v>2015968</v>
      </c>
      <c r="B381" s="92" t="s">
        <v>362</v>
      </c>
      <c r="C381" s="78" t="s">
        <v>19</v>
      </c>
      <c r="D381" s="4" t="s">
        <v>11</v>
      </c>
      <c r="E381" s="79">
        <v>2</v>
      </c>
      <c r="F381" s="11">
        <f>SUM(DistMeetingQuota[[#This Row],[Sep]:[Feb]])</f>
        <v>0</v>
      </c>
      <c r="G381" s="11">
        <f>DistMeetingQuota[[#This Row],[Quota]]-DistMeetingQuota[[#This Row],[Actual]]</f>
        <v>2</v>
      </c>
      <c r="H381" s="80">
        <f>DistMeetingQuota[[#This Row],[Actual]]/DistMeetingQuota[[#This Row],[Quota]]</f>
        <v>0</v>
      </c>
      <c r="I381" s="78"/>
      <c r="J381" s="6"/>
      <c r="K381" s="6"/>
      <c r="L381" s="6"/>
      <c r="M381" s="6"/>
      <c r="N381" s="6"/>
      <c r="O381" s="6"/>
      <c r="P381" s="78" t="s">
        <v>14</v>
      </c>
      <c r="Q381" s="2"/>
    </row>
    <row r="382" spans="1:17" s="109" customFormat="1" ht="30">
      <c r="A382" s="78">
        <v>2020869</v>
      </c>
      <c r="B382" s="92" t="s">
        <v>277</v>
      </c>
      <c r="C382" s="78" t="s">
        <v>33</v>
      </c>
      <c r="D382" s="4" t="s">
        <v>11</v>
      </c>
      <c r="E382" s="79">
        <v>2</v>
      </c>
      <c r="F382" s="11">
        <f>SUM(DistMeetingQuota[[#This Row],[Sep]:[Feb]])</f>
        <v>0</v>
      </c>
      <c r="G382" s="11">
        <f>DistMeetingQuota[[#This Row],[Quota]]-DistMeetingQuota[[#This Row],[Actual]]</f>
        <v>2</v>
      </c>
      <c r="H382" s="80">
        <f>DistMeetingQuota[[#This Row],[Actual]]/DistMeetingQuota[[#This Row],[Quota]]</f>
        <v>0</v>
      </c>
      <c r="I382" s="78"/>
      <c r="J382" s="6"/>
      <c r="K382" s="6"/>
      <c r="L382" s="6"/>
      <c r="M382" s="6"/>
      <c r="N382" s="6"/>
      <c r="O382" s="6"/>
      <c r="P382" s="78" t="s">
        <v>14</v>
      </c>
      <c r="Q382" s="2"/>
    </row>
    <row r="383" spans="1:17" s="109" customFormat="1" ht="30">
      <c r="A383" s="78">
        <v>2170736</v>
      </c>
      <c r="B383" s="92" t="s">
        <v>366</v>
      </c>
      <c r="C383" s="78" t="s">
        <v>19</v>
      </c>
      <c r="D383" s="4" t="s">
        <v>5</v>
      </c>
      <c r="E383" s="79">
        <v>24</v>
      </c>
      <c r="F383" s="11">
        <f>SUM(DistMeetingQuota[[#This Row],[Sep]:[Feb]])</f>
        <v>0</v>
      </c>
      <c r="G383" s="11">
        <f>DistMeetingQuota[[#This Row],[Quota]]-DistMeetingQuota[[#This Row],[Actual]]</f>
        <v>24</v>
      </c>
      <c r="H383" s="80">
        <f>DistMeetingQuota[[#This Row],[Actual]]/DistMeetingQuota[[#This Row],[Quota]]</f>
        <v>0</v>
      </c>
      <c r="I383" s="78"/>
      <c r="J383" s="6"/>
      <c r="K383" s="6"/>
      <c r="L383" s="6"/>
      <c r="M383" s="6"/>
      <c r="N383" s="6"/>
      <c r="O383" s="6"/>
      <c r="P383" s="78" t="s">
        <v>69</v>
      </c>
      <c r="Q383" s="2"/>
    </row>
    <row r="384" spans="1:17" s="109" customFormat="1" ht="30">
      <c r="A384" s="78">
        <v>2170736</v>
      </c>
      <c r="B384" s="92" t="s">
        <v>366</v>
      </c>
      <c r="C384" s="78" t="s">
        <v>19</v>
      </c>
      <c r="D384" s="4" t="s">
        <v>11</v>
      </c>
      <c r="E384" s="79">
        <v>2</v>
      </c>
      <c r="F384" s="11">
        <f>SUM(DistMeetingQuota[[#This Row],[Sep]:[Feb]])</f>
        <v>0</v>
      </c>
      <c r="G384" s="11">
        <f>DistMeetingQuota[[#This Row],[Quota]]-DistMeetingQuota[[#This Row],[Actual]]</f>
        <v>2</v>
      </c>
      <c r="H384" s="80">
        <f>DistMeetingQuota[[#This Row],[Actual]]/DistMeetingQuota[[#This Row],[Quota]]</f>
        <v>0</v>
      </c>
      <c r="I384" s="78"/>
      <c r="J384" s="6"/>
      <c r="K384" s="6"/>
      <c r="L384" s="6"/>
      <c r="M384" s="6"/>
      <c r="N384" s="6"/>
      <c r="O384" s="6"/>
      <c r="P384" s="78" t="s">
        <v>69</v>
      </c>
      <c r="Q384" s="2"/>
    </row>
    <row r="385" spans="1:17" s="109" customFormat="1">
      <c r="A385" s="78">
        <v>2009155</v>
      </c>
      <c r="B385" s="92" t="s">
        <v>367</v>
      </c>
      <c r="C385" s="78" t="s">
        <v>19</v>
      </c>
      <c r="D385" s="4" t="s">
        <v>11</v>
      </c>
      <c r="E385" s="79">
        <v>2</v>
      </c>
      <c r="F385" s="11">
        <f>SUM(DistMeetingQuota[[#This Row],[Sep]:[Feb]])</f>
        <v>0</v>
      </c>
      <c r="G385" s="11">
        <f>DistMeetingQuota[[#This Row],[Quota]]-DistMeetingQuota[[#This Row],[Actual]]</f>
        <v>2</v>
      </c>
      <c r="H385" s="80">
        <f>DistMeetingQuota[[#This Row],[Actual]]/DistMeetingQuota[[#This Row],[Quota]]</f>
        <v>0</v>
      </c>
      <c r="I385" s="78"/>
      <c r="J385" s="6"/>
      <c r="K385" s="6"/>
      <c r="L385" s="6"/>
      <c r="M385" s="6"/>
      <c r="N385" s="6"/>
      <c r="O385" s="6"/>
      <c r="P385" s="78" t="s">
        <v>10</v>
      </c>
      <c r="Q385" s="2"/>
    </row>
    <row r="386" spans="1:17" s="109" customFormat="1" ht="30">
      <c r="A386" s="78">
        <v>2196433</v>
      </c>
      <c r="B386" s="92" t="s">
        <v>368</v>
      </c>
      <c r="C386" s="78" t="s">
        <v>19</v>
      </c>
      <c r="D386" s="4" t="s">
        <v>11</v>
      </c>
      <c r="E386" s="79">
        <v>2</v>
      </c>
      <c r="F386" s="11">
        <f>SUM(DistMeetingQuota[[#This Row],[Sep]:[Feb]])</f>
        <v>0</v>
      </c>
      <c r="G386" s="11">
        <f>DistMeetingQuota[[#This Row],[Quota]]-DistMeetingQuota[[#This Row],[Actual]]</f>
        <v>2</v>
      </c>
      <c r="H386" s="80">
        <f>DistMeetingQuota[[#This Row],[Actual]]/DistMeetingQuota[[#This Row],[Quota]]</f>
        <v>0</v>
      </c>
      <c r="I386" s="78"/>
      <c r="J386" s="6"/>
      <c r="K386" s="6"/>
      <c r="L386" s="6"/>
      <c r="M386" s="6"/>
      <c r="N386" s="6"/>
      <c r="O386" s="6"/>
      <c r="P386" s="78" t="s">
        <v>14</v>
      </c>
      <c r="Q386" s="2"/>
    </row>
    <row r="387" spans="1:17" s="109" customFormat="1" ht="30">
      <c r="A387" s="78">
        <v>2021328</v>
      </c>
      <c r="B387" s="92" t="s">
        <v>369</v>
      </c>
      <c r="C387" s="78" t="s">
        <v>19</v>
      </c>
      <c r="D387" s="4" t="s">
        <v>11</v>
      </c>
      <c r="E387" s="79">
        <v>2</v>
      </c>
      <c r="F387" s="11">
        <f>SUM(DistMeetingQuota[[#This Row],[Sep]:[Feb]])</f>
        <v>0</v>
      </c>
      <c r="G387" s="11">
        <f>DistMeetingQuota[[#This Row],[Quota]]-DistMeetingQuota[[#This Row],[Actual]]</f>
        <v>2</v>
      </c>
      <c r="H387" s="80">
        <f>DistMeetingQuota[[#This Row],[Actual]]/DistMeetingQuota[[#This Row],[Quota]]</f>
        <v>0</v>
      </c>
      <c r="I387" s="78"/>
      <c r="J387" s="6"/>
      <c r="K387" s="6"/>
      <c r="L387" s="6"/>
      <c r="M387" s="6"/>
      <c r="N387" s="6"/>
      <c r="O387" s="6"/>
      <c r="P387" s="78" t="s">
        <v>14</v>
      </c>
      <c r="Q387" s="2"/>
    </row>
    <row r="388" spans="1:17" s="109" customFormat="1" ht="30">
      <c r="A388" s="78">
        <v>2161513</v>
      </c>
      <c r="B388" s="92" t="s">
        <v>370</v>
      </c>
      <c r="C388" s="78" t="s">
        <v>36</v>
      </c>
      <c r="D388" s="4" t="s">
        <v>11</v>
      </c>
      <c r="E388" s="79">
        <v>2</v>
      </c>
      <c r="F388" s="11">
        <f>SUM(DistMeetingQuota[[#This Row],[Sep]:[Feb]])</f>
        <v>0</v>
      </c>
      <c r="G388" s="11">
        <f>DistMeetingQuota[[#This Row],[Quota]]-DistMeetingQuota[[#This Row],[Actual]]</f>
        <v>2</v>
      </c>
      <c r="H388" s="80">
        <f>DistMeetingQuota[[#This Row],[Actual]]/DistMeetingQuota[[#This Row],[Quota]]</f>
        <v>0</v>
      </c>
      <c r="I388" s="78"/>
      <c r="J388" s="6"/>
      <c r="K388" s="6"/>
      <c r="L388" s="6"/>
      <c r="M388" s="6"/>
      <c r="N388" s="6"/>
      <c r="O388" s="6"/>
      <c r="P388" s="78" t="s">
        <v>14</v>
      </c>
      <c r="Q388" s="2"/>
    </row>
    <row r="389" spans="1:17" s="109" customFormat="1">
      <c r="A389" s="78">
        <v>2019781</v>
      </c>
      <c r="B389" s="92" t="s">
        <v>226</v>
      </c>
      <c r="C389" s="78" t="s">
        <v>19</v>
      </c>
      <c r="D389" s="4" t="s">
        <v>5</v>
      </c>
      <c r="E389" s="79">
        <v>24</v>
      </c>
      <c r="F389" s="11">
        <f>SUM(DistMeetingQuota[[#This Row],[Sep]:[Feb]])</f>
        <v>0</v>
      </c>
      <c r="G389" s="11">
        <f>DistMeetingQuota[[#This Row],[Quota]]-DistMeetingQuota[[#This Row],[Actual]]</f>
        <v>24</v>
      </c>
      <c r="H389" s="80">
        <f>DistMeetingQuota[[#This Row],[Actual]]/DistMeetingQuota[[#This Row],[Quota]]</f>
        <v>0</v>
      </c>
      <c r="I389" s="78"/>
      <c r="J389" s="6"/>
      <c r="K389" s="6"/>
      <c r="L389" s="6"/>
      <c r="M389" s="6"/>
      <c r="N389" s="6"/>
      <c r="O389" s="6"/>
      <c r="P389" s="78" t="s">
        <v>59</v>
      </c>
      <c r="Q389" s="2"/>
    </row>
    <row r="390" spans="1:17" s="109" customFormat="1">
      <c r="A390" s="78">
        <v>2019781</v>
      </c>
      <c r="B390" s="92" t="s">
        <v>226</v>
      </c>
      <c r="C390" s="78" t="s">
        <v>19</v>
      </c>
      <c r="D390" s="4" t="s">
        <v>11</v>
      </c>
      <c r="E390" s="79">
        <v>2</v>
      </c>
      <c r="F390" s="11">
        <f>SUM(DistMeetingQuota[[#This Row],[Sep]:[Feb]])</f>
        <v>0</v>
      </c>
      <c r="G390" s="11">
        <f>DistMeetingQuota[[#This Row],[Quota]]-DistMeetingQuota[[#This Row],[Actual]]</f>
        <v>2</v>
      </c>
      <c r="H390" s="80">
        <f>DistMeetingQuota[[#This Row],[Actual]]/DistMeetingQuota[[#This Row],[Quota]]</f>
        <v>0</v>
      </c>
      <c r="I390" s="78"/>
      <c r="J390" s="6"/>
      <c r="K390" s="6"/>
      <c r="L390" s="6"/>
      <c r="M390" s="6"/>
      <c r="N390" s="6"/>
      <c r="O390" s="6"/>
      <c r="P390" s="78" t="s">
        <v>59</v>
      </c>
      <c r="Q390" s="2"/>
    </row>
    <row r="391" spans="1:17" s="109" customFormat="1" ht="30">
      <c r="A391" s="78">
        <v>2099627</v>
      </c>
      <c r="B391" s="92" t="s">
        <v>372</v>
      </c>
      <c r="C391" s="78" t="s">
        <v>19</v>
      </c>
      <c r="D391" s="4" t="s">
        <v>11</v>
      </c>
      <c r="E391" s="79">
        <v>2</v>
      </c>
      <c r="F391" s="11">
        <f>SUM(DistMeetingQuota[[#This Row],[Sep]:[Feb]])</f>
        <v>0</v>
      </c>
      <c r="G391" s="11">
        <f>DistMeetingQuota[[#This Row],[Quota]]-DistMeetingQuota[[#This Row],[Actual]]</f>
        <v>2</v>
      </c>
      <c r="H391" s="80">
        <f>DistMeetingQuota[[#This Row],[Actual]]/DistMeetingQuota[[#This Row],[Quota]]</f>
        <v>0</v>
      </c>
      <c r="I391" s="78"/>
      <c r="J391" s="6"/>
      <c r="K391" s="6"/>
      <c r="L391" s="6"/>
      <c r="M391" s="6"/>
      <c r="N391" s="6"/>
      <c r="O391" s="6"/>
      <c r="P391" s="78" t="s">
        <v>14</v>
      </c>
      <c r="Q391" s="2"/>
    </row>
    <row r="392" spans="1:17" s="109" customFormat="1" ht="30">
      <c r="A392" s="78">
        <v>2188610</v>
      </c>
      <c r="B392" s="92" t="s">
        <v>373</v>
      </c>
      <c r="C392" s="78" t="s">
        <v>21</v>
      </c>
      <c r="D392" s="4" t="s">
        <v>13</v>
      </c>
      <c r="E392" s="79">
        <v>2</v>
      </c>
      <c r="F392" s="11">
        <f>SUM(DistMeetingQuota[[#This Row],[Sep]:[Feb]])</f>
        <v>2</v>
      </c>
      <c r="G392" s="11">
        <f>DistMeetingQuota[[#This Row],[Quota]]-DistMeetingQuota[[#This Row],[Actual]]</f>
        <v>0</v>
      </c>
      <c r="H392" s="80">
        <f>DistMeetingQuota[[#This Row],[Actual]]/DistMeetingQuota[[#This Row],[Quota]]</f>
        <v>1</v>
      </c>
      <c r="I392" s="78"/>
      <c r="J392" s="6">
        <v>2</v>
      </c>
      <c r="K392" s="6"/>
      <c r="L392" s="6"/>
      <c r="M392" s="6"/>
      <c r="N392" s="6"/>
      <c r="O392" s="6"/>
      <c r="P392" s="78" t="s">
        <v>14</v>
      </c>
      <c r="Q392" s="2"/>
    </row>
    <row r="393" spans="1:17" s="109" customFormat="1" ht="30">
      <c r="A393" s="78">
        <v>2188610</v>
      </c>
      <c r="B393" s="92" t="s">
        <v>373</v>
      </c>
      <c r="C393" s="78" t="s">
        <v>21</v>
      </c>
      <c r="D393" s="4" t="s">
        <v>11</v>
      </c>
      <c r="E393" s="79">
        <v>3</v>
      </c>
      <c r="F393" s="11">
        <f>SUM(DistMeetingQuota[[#This Row],[Sep]:[Feb]])</f>
        <v>1</v>
      </c>
      <c r="G393" s="11">
        <f>DistMeetingQuota[[#This Row],[Quota]]-DistMeetingQuota[[#This Row],[Actual]]</f>
        <v>2</v>
      </c>
      <c r="H393" s="80">
        <f>DistMeetingQuota[[#This Row],[Actual]]/DistMeetingQuota[[#This Row],[Quota]]</f>
        <v>0.33333333333333331</v>
      </c>
      <c r="I393" s="78"/>
      <c r="J393" s="6">
        <v>1</v>
      </c>
      <c r="K393" s="6"/>
      <c r="L393" s="6"/>
      <c r="M393" s="6"/>
      <c r="N393" s="6"/>
      <c r="O393" s="6"/>
      <c r="P393" s="78" t="s">
        <v>14</v>
      </c>
      <c r="Q393" s="2"/>
    </row>
    <row r="394" spans="1:17" s="109" customFormat="1" ht="30">
      <c r="A394" s="78">
        <v>2134575</v>
      </c>
      <c r="B394" s="92" t="s">
        <v>375</v>
      </c>
      <c r="C394" s="78" t="s">
        <v>19</v>
      </c>
      <c r="D394" s="4" t="s">
        <v>11</v>
      </c>
      <c r="E394" s="79">
        <v>2</v>
      </c>
      <c r="F394" s="11">
        <f>SUM(DistMeetingQuota[[#This Row],[Sep]:[Feb]])</f>
        <v>0</v>
      </c>
      <c r="G394" s="11">
        <f>DistMeetingQuota[[#This Row],[Quota]]-DistMeetingQuota[[#This Row],[Actual]]</f>
        <v>2</v>
      </c>
      <c r="H394" s="80">
        <f>DistMeetingQuota[[#This Row],[Actual]]/DistMeetingQuota[[#This Row],[Quota]]</f>
        <v>0</v>
      </c>
      <c r="I394" s="78"/>
      <c r="J394" s="6"/>
      <c r="K394" s="6"/>
      <c r="L394" s="6"/>
      <c r="M394" s="6"/>
      <c r="N394" s="6"/>
      <c r="O394" s="6"/>
      <c r="P394" s="78" t="s">
        <v>57</v>
      </c>
      <c r="Q394" s="2"/>
    </row>
    <row r="395" spans="1:17" s="109" customFormat="1" ht="30">
      <c r="A395" s="78">
        <v>2134579</v>
      </c>
      <c r="B395" s="92" t="s">
        <v>376</v>
      </c>
      <c r="C395" s="78" t="s">
        <v>36</v>
      </c>
      <c r="D395" s="4" t="s">
        <v>5</v>
      </c>
      <c r="E395" s="79">
        <v>24</v>
      </c>
      <c r="F395" s="11">
        <f>SUM(DistMeetingQuota[[#This Row],[Sep]:[Feb]])</f>
        <v>0</v>
      </c>
      <c r="G395" s="11">
        <f>DistMeetingQuota[[#This Row],[Quota]]-DistMeetingQuota[[#This Row],[Actual]]</f>
        <v>24</v>
      </c>
      <c r="H395" s="80">
        <f>DistMeetingQuota[[#This Row],[Actual]]/DistMeetingQuota[[#This Row],[Quota]]</f>
        <v>0</v>
      </c>
      <c r="I395" s="78"/>
      <c r="J395" s="6"/>
      <c r="K395" s="6"/>
      <c r="L395" s="6"/>
      <c r="M395" s="6"/>
      <c r="N395" s="6"/>
      <c r="O395" s="6"/>
      <c r="P395" s="78" t="s">
        <v>57</v>
      </c>
      <c r="Q395" s="2"/>
    </row>
    <row r="396" spans="1:17" s="109" customFormat="1" ht="30">
      <c r="A396" s="78">
        <v>2134579</v>
      </c>
      <c r="B396" s="92" t="s">
        <v>376</v>
      </c>
      <c r="C396" s="78" t="s">
        <v>36</v>
      </c>
      <c r="D396" s="4" t="s">
        <v>11</v>
      </c>
      <c r="E396" s="79">
        <v>2</v>
      </c>
      <c r="F396" s="11">
        <f>SUM(DistMeetingQuota[[#This Row],[Sep]:[Feb]])</f>
        <v>0</v>
      </c>
      <c r="G396" s="11">
        <f>DistMeetingQuota[[#This Row],[Quota]]-DistMeetingQuota[[#This Row],[Actual]]</f>
        <v>2</v>
      </c>
      <c r="H396" s="80">
        <f>DistMeetingQuota[[#This Row],[Actual]]/DistMeetingQuota[[#This Row],[Quota]]</f>
        <v>0</v>
      </c>
      <c r="I396" s="78"/>
      <c r="J396" s="6"/>
      <c r="K396" s="6"/>
      <c r="L396" s="6"/>
      <c r="M396" s="6"/>
      <c r="N396" s="6"/>
      <c r="O396" s="6"/>
      <c r="P396" s="78" t="s">
        <v>57</v>
      </c>
      <c r="Q396" s="2"/>
    </row>
    <row r="397" spans="1:17" s="109" customFormat="1">
      <c r="A397" s="78">
        <v>2008941</v>
      </c>
      <c r="B397" s="92" t="s">
        <v>378</v>
      </c>
      <c r="C397" s="78" t="s">
        <v>19</v>
      </c>
      <c r="D397" s="4" t="s">
        <v>5</v>
      </c>
      <c r="E397" s="79">
        <v>24</v>
      </c>
      <c r="F397" s="11">
        <f>SUM(DistMeetingQuota[[#This Row],[Sep]:[Feb]])</f>
        <v>0</v>
      </c>
      <c r="G397" s="11">
        <f>DistMeetingQuota[[#This Row],[Quota]]-DistMeetingQuota[[#This Row],[Actual]]</f>
        <v>24</v>
      </c>
      <c r="H397" s="80">
        <f>DistMeetingQuota[[#This Row],[Actual]]/DistMeetingQuota[[#This Row],[Quota]]</f>
        <v>0</v>
      </c>
      <c r="I397" s="78"/>
      <c r="J397" s="6"/>
      <c r="K397" s="6"/>
      <c r="L397" s="6"/>
      <c r="M397" s="6"/>
      <c r="N397" s="6"/>
      <c r="O397" s="6"/>
      <c r="P397" s="78" t="s">
        <v>56</v>
      </c>
      <c r="Q397" s="2"/>
    </row>
    <row r="398" spans="1:17" s="109" customFormat="1">
      <c r="A398" s="78">
        <v>2008941</v>
      </c>
      <c r="B398" s="92" t="s">
        <v>378</v>
      </c>
      <c r="C398" s="78" t="s">
        <v>19</v>
      </c>
      <c r="D398" s="4" t="s">
        <v>11</v>
      </c>
      <c r="E398" s="79">
        <v>2</v>
      </c>
      <c r="F398" s="11">
        <f>SUM(DistMeetingQuota[[#This Row],[Sep]:[Feb]])</f>
        <v>0</v>
      </c>
      <c r="G398" s="11">
        <f>DistMeetingQuota[[#This Row],[Quota]]-DistMeetingQuota[[#This Row],[Actual]]</f>
        <v>2</v>
      </c>
      <c r="H398" s="80">
        <f>DistMeetingQuota[[#This Row],[Actual]]/DistMeetingQuota[[#This Row],[Quota]]</f>
        <v>0</v>
      </c>
      <c r="I398" s="78"/>
      <c r="J398" s="6"/>
      <c r="K398" s="6"/>
      <c r="L398" s="6"/>
      <c r="M398" s="6"/>
      <c r="N398" s="6"/>
      <c r="O398" s="6"/>
      <c r="P398" s="78" t="s">
        <v>56</v>
      </c>
      <c r="Q398" s="2"/>
    </row>
    <row r="399" spans="1:17" s="109" customFormat="1" ht="30">
      <c r="A399" s="78">
        <v>2162999</v>
      </c>
      <c r="B399" s="92" t="s">
        <v>384</v>
      </c>
      <c r="C399" s="78" t="s">
        <v>19</v>
      </c>
      <c r="D399" s="4" t="s">
        <v>11</v>
      </c>
      <c r="E399" s="79">
        <v>2</v>
      </c>
      <c r="F399" s="11">
        <f>SUM(DistMeetingQuota[[#This Row],[Sep]:[Feb]])</f>
        <v>0</v>
      </c>
      <c r="G399" s="11">
        <f>DistMeetingQuota[[#This Row],[Quota]]-DistMeetingQuota[[#This Row],[Actual]]</f>
        <v>2</v>
      </c>
      <c r="H399" s="80">
        <f>DistMeetingQuota[[#This Row],[Actual]]/DistMeetingQuota[[#This Row],[Quota]]</f>
        <v>0</v>
      </c>
      <c r="I399" s="78"/>
      <c r="J399" s="6"/>
      <c r="K399" s="6"/>
      <c r="L399" s="6"/>
      <c r="M399" s="6"/>
      <c r="N399" s="6"/>
      <c r="O399" s="6"/>
      <c r="P399" s="78" t="s">
        <v>14</v>
      </c>
      <c r="Q399" s="2"/>
    </row>
    <row r="400" spans="1:17" s="109" customFormat="1" ht="30">
      <c r="A400" s="78">
        <v>2178732</v>
      </c>
      <c r="B400" s="92" t="s">
        <v>385</v>
      </c>
      <c r="C400" s="78" t="s">
        <v>21</v>
      </c>
      <c r="D400" s="4" t="s">
        <v>11</v>
      </c>
      <c r="E400" s="79">
        <v>3</v>
      </c>
      <c r="F400" s="11">
        <f>SUM(DistMeetingQuota[[#This Row],[Sep]:[Feb]])</f>
        <v>0</v>
      </c>
      <c r="G400" s="11">
        <f>DistMeetingQuota[[#This Row],[Quota]]-DistMeetingQuota[[#This Row],[Actual]]</f>
        <v>3</v>
      </c>
      <c r="H400" s="80">
        <f>DistMeetingQuota[[#This Row],[Actual]]/DistMeetingQuota[[#This Row],[Quota]]</f>
        <v>0</v>
      </c>
      <c r="I400" s="78"/>
      <c r="J400" s="6"/>
      <c r="K400" s="6"/>
      <c r="L400" s="6"/>
      <c r="M400" s="6"/>
      <c r="N400" s="6"/>
      <c r="O400" s="6"/>
      <c r="P400" s="78" t="s">
        <v>14</v>
      </c>
      <c r="Q400" s="2"/>
    </row>
    <row r="401" spans="1:17" s="109" customFormat="1" ht="30">
      <c r="A401" s="78">
        <v>2166230</v>
      </c>
      <c r="B401" s="199" t="s">
        <v>386</v>
      </c>
      <c r="C401" s="78" t="s">
        <v>21</v>
      </c>
      <c r="D401" s="4" t="s">
        <v>11</v>
      </c>
      <c r="E401" s="79">
        <v>3</v>
      </c>
      <c r="F401" s="11">
        <f>SUM(DistMeetingQuota[[#This Row],[Sep]:[Feb]])</f>
        <v>0</v>
      </c>
      <c r="G401" s="11">
        <f>DistMeetingQuota[[#This Row],[Quota]]-DistMeetingQuota[[#This Row],[Actual]]</f>
        <v>3</v>
      </c>
      <c r="H401" s="80">
        <f>DistMeetingQuota[[#This Row],[Actual]]/DistMeetingQuota[[#This Row],[Quota]]</f>
        <v>0</v>
      </c>
      <c r="I401" s="78"/>
      <c r="J401" s="6"/>
      <c r="K401" s="6"/>
      <c r="L401" s="6"/>
      <c r="M401" s="6"/>
      <c r="N401" s="6"/>
      <c r="O401" s="6"/>
      <c r="P401" s="78" t="s">
        <v>14</v>
      </c>
      <c r="Q401" s="2"/>
    </row>
    <row r="402" spans="1:17" s="109" customFormat="1" ht="30">
      <c r="A402" s="78">
        <v>2166230</v>
      </c>
      <c r="B402" s="199" t="s">
        <v>386</v>
      </c>
      <c r="C402" s="78" t="s">
        <v>21</v>
      </c>
      <c r="D402" s="4" t="s">
        <v>13</v>
      </c>
      <c r="E402" s="79">
        <v>2</v>
      </c>
      <c r="F402" s="11">
        <f>SUM(DistMeetingQuota[[#This Row],[Sep]:[Feb]])</f>
        <v>0</v>
      </c>
      <c r="G402" s="11">
        <f>DistMeetingQuota[[#This Row],[Quota]]-DistMeetingQuota[[#This Row],[Actual]]</f>
        <v>2</v>
      </c>
      <c r="H402" s="80">
        <f>DistMeetingQuota[[#This Row],[Actual]]/DistMeetingQuota[[#This Row],[Quota]]</f>
        <v>0</v>
      </c>
      <c r="I402" s="78"/>
      <c r="J402" s="6"/>
      <c r="K402" s="6"/>
      <c r="L402" s="6"/>
      <c r="M402" s="6"/>
      <c r="N402" s="6"/>
      <c r="O402" s="6"/>
      <c r="P402" s="78" t="s">
        <v>14</v>
      </c>
      <c r="Q402" s="2"/>
    </row>
    <row r="403" spans="1:17" s="109" customFormat="1">
      <c r="A403" s="78">
        <v>2134438</v>
      </c>
      <c r="B403" s="92" t="s">
        <v>387</v>
      </c>
      <c r="C403" s="78" t="s">
        <v>19</v>
      </c>
      <c r="D403" s="4" t="s">
        <v>11</v>
      </c>
      <c r="E403" s="79">
        <v>2</v>
      </c>
      <c r="F403" s="11">
        <f>SUM(DistMeetingQuota[[#This Row],[Sep]:[Feb]])</f>
        <v>0</v>
      </c>
      <c r="G403" s="11">
        <f>DistMeetingQuota[[#This Row],[Quota]]-DistMeetingQuota[[#This Row],[Actual]]</f>
        <v>2</v>
      </c>
      <c r="H403" s="80">
        <f>DistMeetingQuota[[#This Row],[Actual]]/DistMeetingQuota[[#This Row],[Quota]]</f>
        <v>0</v>
      </c>
      <c r="I403" s="78"/>
      <c r="J403" s="6"/>
      <c r="K403" s="6"/>
      <c r="L403" s="6"/>
      <c r="M403" s="6"/>
      <c r="N403" s="6"/>
      <c r="O403" s="6"/>
      <c r="P403" s="78" t="s">
        <v>14</v>
      </c>
      <c r="Q403" s="2"/>
    </row>
    <row r="404" spans="1:17" s="109" customFormat="1">
      <c r="A404" s="78">
        <v>2066396</v>
      </c>
      <c r="B404" s="92" t="s">
        <v>388</v>
      </c>
      <c r="C404" s="78" t="s">
        <v>19</v>
      </c>
      <c r="D404" s="4" t="s">
        <v>11</v>
      </c>
      <c r="E404" s="79">
        <v>2</v>
      </c>
      <c r="F404" s="11">
        <f>SUM(DistMeetingQuota[[#This Row],[Sep]:[Feb]])</f>
        <v>0</v>
      </c>
      <c r="G404" s="11">
        <f>DistMeetingQuota[[#This Row],[Quota]]-DistMeetingQuota[[#This Row],[Actual]]</f>
        <v>2</v>
      </c>
      <c r="H404" s="80">
        <f>DistMeetingQuota[[#This Row],[Actual]]/DistMeetingQuota[[#This Row],[Quota]]</f>
        <v>0</v>
      </c>
      <c r="I404" s="78"/>
      <c r="J404" s="6"/>
      <c r="K404" s="6"/>
      <c r="L404" s="6"/>
      <c r="M404" s="6"/>
      <c r="N404" s="6"/>
      <c r="O404" s="6"/>
      <c r="P404" s="78" t="s">
        <v>14</v>
      </c>
      <c r="Q404" s="2"/>
    </row>
    <row r="405" spans="1:17" s="109" customFormat="1">
      <c r="A405" s="78">
        <v>2066397</v>
      </c>
      <c r="B405" s="92" t="s">
        <v>389</v>
      </c>
      <c r="C405" s="78" t="s">
        <v>19</v>
      </c>
      <c r="D405" s="4" t="s">
        <v>11</v>
      </c>
      <c r="E405" s="79">
        <v>2</v>
      </c>
      <c r="F405" s="11">
        <f>SUM(DistMeetingQuota[[#This Row],[Sep]:[Feb]])</f>
        <v>0</v>
      </c>
      <c r="G405" s="11">
        <f>DistMeetingQuota[[#This Row],[Quota]]-DistMeetingQuota[[#This Row],[Actual]]</f>
        <v>2</v>
      </c>
      <c r="H405" s="80">
        <f>DistMeetingQuota[[#This Row],[Actual]]/DistMeetingQuota[[#This Row],[Quota]]</f>
        <v>0</v>
      </c>
      <c r="I405" s="78"/>
      <c r="J405" s="6"/>
      <c r="K405" s="6"/>
      <c r="L405" s="6"/>
      <c r="M405" s="6"/>
      <c r="N405" s="6"/>
      <c r="O405" s="6"/>
      <c r="P405" s="78" t="s">
        <v>14</v>
      </c>
      <c r="Q405" s="2"/>
    </row>
    <row r="406" spans="1:17" s="109" customFormat="1" ht="30">
      <c r="A406" s="78">
        <v>2067904</v>
      </c>
      <c r="B406" s="92" t="s">
        <v>390</v>
      </c>
      <c r="C406" s="78" t="s">
        <v>19</v>
      </c>
      <c r="D406" s="4" t="s">
        <v>11</v>
      </c>
      <c r="E406" s="79">
        <v>2</v>
      </c>
      <c r="F406" s="11">
        <f>SUM(DistMeetingQuota[[#This Row],[Sep]:[Feb]])</f>
        <v>1</v>
      </c>
      <c r="G406" s="11">
        <f>DistMeetingQuota[[#This Row],[Quota]]-DistMeetingQuota[[#This Row],[Actual]]</f>
        <v>1</v>
      </c>
      <c r="H406" s="80">
        <f>DistMeetingQuota[[#This Row],[Actual]]/DistMeetingQuota[[#This Row],[Quota]]</f>
        <v>0.5</v>
      </c>
      <c r="I406" s="78"/>
      <c r="J406" s="6"/>
      <c r="K406" s="6"/>
      <c r="L406" s="6"/>
      <c r="M406" s="6">
        <v>1</v>
      </c>
      <c r="N406" s="6"/>
      <c r="O406" s="6"/>
      <c r="P406" s="78" t="s">
        <v>14</v>
      </c>
      <c r="Q406" s="2"/>
    </row>
    <row r="407" spans="1:17" s="109" customFormat="1">
      <c r="A407" s="78">
        <v>2079004</v>
      </c>
      <c r="B407" s="92" t="s">
        <v>392</v>
      </c>
      <c r="C407" s="78" t="s">
        <v>19</v>
      </c>
      <c r="D407" s="4" t="s">
        <v>5</v>
      </c>
      <c r="E407" s="79">
        <v>24</v>
      </c>
      <c r="F407" s="11">
        <f>SUM(DistMeetingQuota[[#This Row],[Sep]:[Feb]])</f>
        <v>0</v>
      </c>
      <c r="G407" s="11">
        <f>DistMeetingQuota[[#This Row],[Quota]]-DistMeetingQuota[[#This Row],[Actual]]</f>
        <v>24</v>
      </c>
      <c r="H407" s="80">
        <f>DistMeetingQuota[[#This Row],[Actual]]/DistMeetingQuota[[#This Row],[Quota]]</f>
        <v>0</v>
      </c>
      <c r="I407" s="78"/>
      <c r="J407" s="6"/>
      <c r="K407" s="6"/>
      <c r="L407" s="6"/>
      <c r="M407" s="6"/>
      <c r="N407" s="6"/>
      <c r="O407" s="6"/>
      <c r="P407" s="78" t="s">
        <v>65</v>
      </c>
      <c r="Q407" s="2"/>
    </row>
    <row r="408" spans="1:17" s="109" customFormat="1">
      <c r="A408" s="78">
        <v>2079004</v>
      </c>
      <c r="B408" s="92" t="s">
        <v>392</v>
      </c>
      <c r="C408" s="78" t="s">
        <v>19</v>
      </c>
      <c r="D408" s="4" t="s">
        <v>11</v>
      </c>
      <c r="E408" s="79">
        <v>2</v>
      </c>
      <c r="F408" s="11">
        <f>SUM(DistMeetingQuota[[#This Row],[Sep]:[Feb]])</f>
        <v>0</v>
      </c>
      <c r="G408" s="11">
        <f>DistMeetingQuota[[#This Row],[Quota]]-DistMeetingQuota[[#This Row],[Actual]]</f>
        <v>2</v>
      </c>
      <c r="H408" s="80">
        <f>DistMeetingQuota[[#This Row],[Actual]]/DistMeetingQuota[[#This Row],[Quota]]</f>
        <v>0</v>
      </c>
      <c r="I408" s="78"/>
      <c r="J408" s="6"/>
      <c r="K408" s="6"/>
      <c r="L408" s="6"/>
      <c r="M408" s="6"/>
      <c r="N408" s="6"/>
      <c r="O408" s="6"/>
      <c r="P408" s="78" t="s">
        <v>65</v>
      </c>
      <c r="Q408" s="2"/>
    </row>
    <row r="409" spans="1:17" s="109" customFormat="1">
      <c r="A409" s="78">
        <v>2069097</v>
      </c>
      <c r="B409" s="92" t="s">
        <v>393</v>
      </c>
      <c r="C409" s="78" t="s">
        <v>19</v>
      </c>
      <c r="D409" s="4" t="s">
        <v>5</v>
      </c>
      <c r="E409" s="79">
        <v>24</v>
      </c>
      <c r="F409" s="11">
        <f>SUM(DistMeetingQuota[[#This Row],[Sep]:[Feb]])</f>
        <v>0</v>
      </c>
      <c r="G409" s="11">
        <f>DistMeetingQuota[[#This Row],[Quota]]-DistMeetingQuota[[#This Row],[Actual]]</f>
        <v>24</v>
      </c>
      <c r="H409" s="80">
        <f>DistMeetingQuota[[#This Row],[Actual]]/DistMeetingQuota[[#This Row],[Quota]]</f>
        <v>0</v>
      </c>
      <c r="I409" s="78"/>
      <c r="J409" s="6"/>
      <c r="K409" s="6"/>
      <c r="L409" s="6"/>
      <c r="M409" s="6"/>
      <c r="N409" s="6"/>
      <c r="O409" s="6"/>
      <c r="P409" s="78" t="s">
        <v>65</v>
      </c>
      <c r="Q409" s="2"/>
    </row>
    <row r="410" spans="1:17" s="109" customFormat="1">
      <c r="A410" s="78">
        <v>2069097</v>
      </c>
      <c r="B410" s="92" t="s">
        <v>393</v>
      </c>
      <c r="C410" s="78" t="s">
        <v>19</v>
      </c>
      <c r="D410" s="4" t="s">
        <v>11</v>
      </c>
      <c r="E410" s="79">
        <v>2</v>
      </c>
      <c r="F410" s="11">
        <f>SUM(DistMeetingQuota[[#This Row],[Sep]:[Feb]])</f>
        <v>0</v>
      </c>
      <c r="G410" s="11">
        <f>DistMeetingQuota[[#This Row],[Quota]]-DistMeetingQuota[[#This Row],[Actual]]</f>
        <v>2</v>
      </c>
      <c r="H410" s="80">
        <f>DistMeetingQuota[[#This Row],[Actual]]/DistMeetingQuota[[#This Row],[Quota]]</f>
        <v>0</v>
      </c>
      <c r="I410" s="78"/>
      <c r="J410" s="6"/>
      <c r="K410" s="6"/>
      <c r="L410" s="6"/>
      <c r="M410" s="6"/>
      <c r="N410" s="6"/>
      <c r="O410" s="6"/>
      <c r="P410" s="78" t="s">
        <v>65</v>
      </c>
      <c r="Q410" s="2"/>
    </row>
    <row r="411" spans="1:17" s="109" customFormat="1" ht="30">
      <c r="A411" s="78">
        <v>2166544</v>
      </c>
      <c r="B411" s="92" t="s">
        <v>394</v>
      </c>
      <c r="C411" s="78" t="s">
        <v>19</v>
      </c>
      <c r="D411" s="4" t="s">
        <v>11</v>
      </c>
      <c r="E411" s="79">
        <v>2</v>
      </c>
      <c r="F411" s="11">
        <f>SUM(DistMeetingQuota[[#This Row],[Sep]:[Feb]])</f>
        <v>0</v>
      </c>
      <c r="G411" s="11">
        <f>DistMeetingQuota[[#This Row],[Quota]]-DistMeetingQuota[[#This Row],[Actual]]</f>
        <v>2</v>
      </c>
      <c r="H411" s="80">
        <f>DistMeetingQuota[[#This Row],[Actual]]/DistMeetingQuota[[#This Row],[Quota]]</f>
        <v>0</v>
      </c>
      <c r="I411" s="78"/>
      <c r="J411" s="6"/>
      <c r="K411" s="6"/>
      <c r="L411" s="6"/>
      <c r="M411" s="6"/>
      <c r="N411" s="6"/>
      <c r="O411" s="6"/>
      <c r="P411" s="78" t="s">
        <v>62</v>
      </c>
      <c r="Q411" s="2"/>
    </row>
    <row r="412" spans="1:17" s="109" customFormat="1">
      <c r="A412" s="78">
        <v>2196990</v>
      </c>
      <c r="B412" s="92" t="s">
        <v>395</v>
      </c>
      <c r="C412" s="78" t="s">
        <v>19</v>
      </c>
      <c r="D412" s="4" t="s">
        <v>11</v>
      </c>
      <c r="E412" s="79">
        <v>2</v>
      </c>
      <c r="F412" s="11">
        <f>SUM(DistMeetingQuota[[#This Row],[Sep]:[Feb]])</f>
        <v>0</v>
      </c>
      <c r="G412" s="11">
        <f>DistMeetingQuota[[#This Row],[Quota]]-DistMeetingQuota[[#This Row],[Actual]]</f>
        <v>2</v>
      </c>
      <c r="H412" s="80">
        <f>DistMeetingQuota[[#This Row],[Actual]]/DistMeetingQuota[[#This Row],[Quota]]</f>
        <v>0</v>
      </c>
      <c r="I412" s="78"/>
      <c r="J412" s="6"/>
      <c r="K412" s="6"/>
      <c r="L412" s="6"/>
      <c r="M412" s="6"/>
      <c r="N412" s="6"/>
      <c r="O412" s="6"/>
      <c r="P412" s="78" t="s">
        <v>14</v>
      </c>
      <c r="Q412" s="2"/>
    </row>
    <row r="413" spans="1:17" s="109" customFormat="1" ht="30">
      <c r="A413" s="78">
        <v>2061912</v>
      </c>
      <c r="B413" s="92" t="s">
        <v>396</v>
      </c>
      <c r="C413" s="78" t="s">
        <v>19</v>
      </c>
      <c r="D413" s="4" t="s">
        <v>11</v>
      </c>
      <c r="E413" s="79">
        <v>2</v>
      </c>
      <c r="F413" s="11">
        <f>SUM(DistMeetingQuota[[#This Row],[Sep]:[Feb]])</f>
        <v>0</v>
      </c>
      <c r="G413" s="11">
        <f>DistMeetingQuota[[#This Row],[Quota]]-DistMeetingQuota[[#This Row],[Actual]]</f>
        <v>2</v>
      </c>
      <c r="H413" s="80">
        <f>DistMeetingQuota[[#This Row],[Actual]]/DistMeetingQuota[[#This Row],[Quota]]</f>
        <v>0</v>
      </c>
      <c r="I413" s="78"/>
      <c r="J413" s="6"/>
      <c r="K413" s="6"/>
      <c r="L413" s="6"/>
      <c r="M413" s="6"/>
      <c r="N413" s="6"/>
      <c r="O413" s="6"/>
      <c r="P413" s="78" t="s">
        <v>14</v>
      </c>
      <c r="Q413" s="2"/>
    </row>
    <row r="414" spans="1:17" s="109" customFormat="1" ht="30">
      <c r="A414" s="78">
        <v>2080894</v>
      </c>
      <c r="B414" s="92" t="s">
        <v>397</v>
      </c>
      <c r="C414" s="78" t="s">
        <v>19</v>
      </c>
      <c r="D414" s="4" t="s">
        <v>11</v>
      </c>
      <c r="E414" s="79">
        <v>2</v>
      </c>
      <c r="F414" s="11">
        <f>SUM(DistMeetingQuota[[#This Row],[Sep]:[Feb]])</f>
        <v>0</v>
      </c>
      <c r="G414" s="11">
        <f>DistMeetingQuota[[#This Row],[Quota]]-DistMeetingQuota[[#This Row],[Actual]]</f>
        <v>2</v>
      </c>
      <c r="H414" s="80">
        <f>DistMeetingQuota[[#This Row],[Actual]]/DistMeetingQuota[[#This Row],[Quota]]</f>
        <v>0</v>
      </c>
      <c r="I414" s="78"/>
      <c r="J414" s="6"/>
      <c r="K414" s="6"/>
      <c r="L414" s="6"/>
      <c r="M414" s="6"/>
      <c r="N414" s="6"/>
      <c r="O414" s="6"/>
      <c r="P414" s="78" t="s">
        <v>14</v>
      </c>
      <c r="Q414" s="2"/>
    </row>
    <row r="415" spans="1:17" s="109" customFormat="1">
      <c r="A415" s="78">
        <v>2014230</v>
      </c>
      <c r="B415" s="92" t="s">
        <v>398</v>
      </c>
      <c r="C415" s="78" t="s">
        <v>19</v>
      </c>
      <c r="D415" s="4" t="s">
        <v>11</v>
      </c>
      <c r="E415" s="79">
        <v>2</v>
      </c>
      <c r="F415" s="11">
        <f>SUM(DistMeetingQuota[[#This Row],[Sep]:[Feb]])</f>
        <v>0</v>
      </c>
      <c r="G415" s="11">
        <f>DistMeetingQuota[[#This Row],[Quota]]-DistMeetingQuota[[#This Row],[Actual]]</f>
        <v>2</v>
      </c>
      <c r="H415" s="80">
        <f>DistMeetingQuota[[#This Row],[Actual]]/DistMeetingQuota[[#This Row],[Quota]]</f>
        <v>0</v>
      </c>
      <c r="I415" s="78"/>
      <c r="J415" s="6"/>
      <c r="K415" s="6"/>
      <c r="L415" s="6"/>
      <c r="M415" s="6"/>
      <c r="N415" s="6"/>
      <c r="O415" s="6"/>
      <c r="P415" s="78" t="s">
        <v>14</v>
      </c>
      <c r="Q415" s="2"/>
    </row>
    <row r="416" spans="1:17" s="109" customFormat="1" ht="30">
      <c r="A416" s="78">
        <v>2115681</v>
      </c>
      <c r="B416" s="92" t="s">
        <v>399</v>
      </c>
      <c r="C416" s="78" t="s">
        <v>19</v>
      </c>
      <c r="D416" s="4" t="s">
        <v>11</v>
      </c>
      <c r="E416" s="79">
        <v>2</v>
      </c>
      <c r="F416" s="11">
        <f>SUM(DistMeetingQuota[[#This Row],[Sep]:[Feb]])</f>
        <v>0</v>
      </c>
      <c r="G416" s="11">
        <f>DistMeetingQuota[[#This Row],[Quota]]-DistMeetingQuota[[#This Row],[Actual]]</f>
        <v>2</v>
      </c>
      <c r="H416" s="80">
        <f>DistMeetingQuota[[#This Row],[Actual]]/DistMeetingQuota[[#This Row],[Quota]]</f>
        <v>0</v>
      </c>
      <c r="I416" s="78"/>
      <c r="J416" s="6"/>
      <c r="K416" s="6"/>
      <c r="L416" s="6"/>
      <c r="M416" s="6"/>
      <c r="N416" s="6"/>
      <c r="O416" s="6"/>
      <c r="P416" s="78" t="s">
        <v>14</v>
      </c>
      <c r="Q416" s="2"/>
    </row>
    <row r="417" spans="1:17" s="109" customFormat="1" ht="30">
      <c r="A417" s="78">
        <v>2130608</v>
      </c>
      <c r="B417" s="92" t="s">
        <v>400</v>
      </c>
      <c r="C417" s="336" t="s">
        <v>19</v>
      </c>
      <c r="D417" s="4" t="s">
        <v>5</v>
      </c>
      <c r="E417" s="79">
        <v>24</v>
      </c>
      <c r="F417" s="11">
        <f>SUM(DistMeetingQuota[[#This Row],[Sep]:[Feb]])</f>
        <v>16</v>
      </c>
      <c r="G417" s="11">
        <f>DistMeetingQuota[[#This Row],[Quota]]-DistMeetingQuota[[#This Row],[Actual]]</f>
        <v>8</v>
      </c>
      <c r="H417" s="80">
        <f>DistMeetingQuota[[#This Row],[Actual]]/DistMeetingQuota[[#This Row],[Quota]]</f>
        <v>0.66666666666666663</v>
      </c>
      <c r="I417" s="78">
        <v>4</v>
      </c>
      <c r="J417" s="6">
        <v>4</v>
      </c>
      <c r="K417" s="6">
        <v>2</v>
      </c>
      <c r="L417" s="6">
        <v>6</v>
      </c>
      <c r="M417" s="6"/>
      <c r="N417" s="6"/>
      <c r="O417" s="6"/>
      <c r="P417" s="78" t="s">
        <v>6</v>
      </c>
      <c r="Q417" s="2"/>
    </row>
    <row r="418" spans="1:17" s="109" customFormat="1" ht="30">
      <c r="A418" s="78">
        <v>2130608</v>
      </c>
      <c r="B418" s="92" t="s">
        <v>400</v>
      </c>
      <c r="C418" s="78" t="s">
        <v>19</v>
      </c>
      <c r="D418" s="4" t="s">
        <v>11</v>
      </c>
      <c r="E418" s="79">
        <v>2</v>
      </c>
      <c r="F418" s="11">
        <f>SUM(DistMeetingQuota[[#This Row],[Sep]:[Feb]])</f>
        <v>2</v>
      </c>
      <c r="G418" s="11">
        <f>DistMeetingQuota[[#This Row],[Quota]]-DistMeetingQuota[[#This Row],[Actual]]</f>
        <v>0</v>
      </c>
      <c r="H418" s="80">
        <f>DistMeetingQuota[[#This Row],[Actual]]/DistMeetingQuota[[#This Row],[Quota]]</f>
        <v>1</v>
      </c>
      <c r="I418" s="78"/>
      <c r="J418" s="6">
        <v>1</v>
      </c>
      <c r="K418" s="6">
        <v>1</v>
      </c>
      <c r="L418" s="6"/>
      <c r="M418" s="6"/>
      <c r="N418" s="6"/>
      <c r="O418" s="6"/>
      <c r="P418" s="78" t="s">
        <v>6</v>
      </c>
      <c r="Q418" s="2"/>
    </row>
    <row r="419" spans="1:17" s="109" customFormat="1">
      <c r="A419" s="78">
        <v>2053090</v>
      </c>
      <c r="B419" s="92" t="s">
        <v>401</v>
      </c>
      <c r="C419" s="78" t="s">
        <v>19</v>
      </c>
      <c r="D419" s="4" t="s">
        <v>11</v>
      </c>
      <c r="E419" s="79">
        <v>2</v>
      </c>
      <c r="F419" s="11">
        <f>SUM(DistMeetingQuota[[#This Row],[Sep]:[Feb]])</f>
        <v>0</v>
      </c>
      <c r="G419" s="11">
        <f>DistMeetingQuota[[#This Row],[Quota]]-DistMeetingQuota[[#This Row],[Actual]]</f>
        <v>2</v>
      </c>
      <c r="H419" s="80">
        <f>DistMeetingQuota[[#This Row],[Actual]]/DistMeetingQuota[[#This Row],[Quota]]</f>
        <v>0</v>
      </c>
      <c r="I419" s="78"/>
      <c r="J419" s="6"/>
      <c r="K419" s="6"/>
      <c r="L419" s="6"/>
      <c r="M419" s="6"/>
      <c r="N419" s="6"/>
      <c r="O419" s="6"/>
      <c r="P419" s="78" t="s">
        <v>14</v>
      </c>
      <c r="Q419" s="2"/>
    </row>
    <row r="420" spans="1:17" s="109" customFormat="1" ht="30">
      <c r="A420" s="78">
        <v>2165983</v>
      </c>
      <c r="B420" s="92" t="s">
        <v>402</v>
      </c>
      <c r="C420" s="78" t="s">
        <v>19</v>
      </c>
      <c r="D420" s="4" t="s">
        <v>11</v>
      </c>
      <c r="E420" s="79">
        <v>2</v>
      </c>
      <c r="F420" s="11">
        <f>SUM(DistMeetingQuota[[#This Row],[Sep]:[Feb]])</f>
        <v>0</v>
      </c>
      <c r="G420" s="11">
        <f>DistMeetingQuota[[#This Row],[Quota]]-DistMeetingQuota[[#This Row],[Actual]]</f>
        <v>2</v>
      </c>
      <c r="H420" s="80">
        <f>DistMeetingQuota[[#This Row],[Actual]]/DistMeetingQuota[[#This Row],[Quota]]</f>
        <v>0</v>
      </c>
      <c r="I420" s="78"/>
      <c r="J420" s="6"/>
      <c r="K420" s="6"/>
      <c r="L420" s="6"/>
      <c r="M420" s="6"/>
      <c r="N420" s="6"/>
      <c r="O420" s="6"/>
      <c r="P420" s="78" t="s">
        <v>14</v>
      </c>
      <c r="Q420" s="2"/>
    </row>
    <row r="421" spans="1:17" s="109" customFormat="1">
      <c r="A421" s="78">
        <v>2071151</v>
      </c>
      <c r="B421" s="92" t="s">
        <v>403</v>
      </c>
      <c r="C421" s="78" t="s">
        <v>21</v>
      </c>
      <c r="D421" s="4" t="s">
        <v>13</v>
      </c>
      <c r="E421" s="79">
        <v>2</v>
      </c>
      <c r="F421" s="11">
        <f>SUM(DistMeetingQuota[[#This Row],[Sep]:[Feb]])</f>
        <v>0</v>
      </c>
      <c r="G421" s="11">
        <f>DistMeetingQuota[[#This Row],[Quota]]-DistMeetingQuota[[#This Row],[Actual]]</f>
        <v>2</v>
      </c>
      <c r="H421" s="80">
        <f>DistMeetingQuota[[#This Row],[Actual]]/DistMeetingQuota[[#This Row],[Quota]]</f>
        <v>0</v>
      </c>
      <c r="I421" s="78"/>
      <c r="J421" s="6"/>
      <c r="K421" s="6"/>
      <c r="L421" s="6"/>
      <c r="M421" s="6"/>
      <c r="N421" s="6"/>
      <c r="O421" s="78"/>
      <c r="P421" s="78" t="s">
        <v>62</v>
      </c>
      <c r="Q421" s="2"/>
    </row>
    <row r="422" spans="1:17" s="109" customFormat="1">
      <c r="A422" s="78">
        <v>2071151</v>
      </c>
      <c r="B422" s="92" t="s">
        <v>403</v>
      </c>
      <c r="C422" s="78" t="s">
        <v>21</v>
      </c>
      <c r="D422" s="4" t="s">
        <v>11</v>
      </c>
      <c r="E422" s="79">
        <v>3</v>
      </c>
      <c r="F422" s="11">
        <f>SUM(DistMeetingQuota[[#This Row],[Sep]:[Feb]])</f>
        <v>0</v>
      </c>
      <c r="G422" s="11">
        <f>DistMeetingQuota[[#This Row],[Quota]]-DistMeetingQuota[[#This Row],[Actual]]</f>
        <v>3</v>
      </c>
      <c r="H422" s="80">
        <f>DistMeetingQuota[[#This Row],[Actual]]/DistMeetingQuota[[#This Row],[Quota]]</f>
        <v>0</v>
      </c>
      <c r="I422" s="78"/>
      <c r="J422" s="6"/>
      <c r="K422" s="6"/>
      <c r="L422" s="6"/>
      <c r="M422" s="6"/>
      <c r="N422" s="6"/>
      <c r="O422" s="6"/>
      <c r="P422" s="78" t="s">
        <v>62</v>
      </c>
      <c r="Q422" s="2"/>
    </row>
    <row r="423" spans="1:17" s="109" customFormat="1" ht="30">
      <c r="A423" s="78">
        <v>2033594</v>
      </c>
      <c r="B423" s="92" t="s">
        <v>404</v>
      </c>
      <c r="C423" s="78" t="s">
        <v>19</v>
      </c>
      <c r="D423" s="4" t="s">
        <v>11</v>
      </c>
      <c r="E423" s="79">
        <v>2</v>
      </c>
      <c r="F423" s="11">
        <f>SUM(DistMeetingQuota[[#This Row],[Sep]:[Feb]])</f>
        <v>0</v>
      </c>
      <c r="G423" s="11">
        <f>DistMeetingQuota[[#This Row],[Quota]]-DistMeetingQuota[[#This Row],[Actual]]</f>
        <v>2</v>
      </c>
      <c r="H423" s="80">
        <f>DistMeetingQuota[[#This Row],[Actual]]/DistMeetingQuota[[#This Row],[Quota]]</f>
        <v>0</v>
      </c>
      <c r="I423" s="78"/>
      <c r="J423" s="6"/>
      <c r="K423" s="6"/>
      <c r="L423" s="6"/>
      <c r="M423" s="6"/>
      <c r="N423" s="6"/>
      <c r="O423" s="6"/>
      <c r="P423" s="78" t="s">
        <v>10</v>
      </c>
      <c r="Q423" s="2"/>
    </row>
    <row r="424" spans="1:17" s="109" customFormat="1">
      <c r="A424" s="78">
        <v>2028238</v>
      </c>
      <c r="B424" s="92" t="s">
        <v>405</v>
      </c>
      <c r="C424" s="78" t="s">
        <v>19</v>
      </c>
      <c r="D424" s="4" t="s">
        <v>11</v>
      </c>
      <c r="E424" s="79">
        <v>2</v>
      </c>
      <c r="F424" s="11">
        <f>SUM(DistMeetingQuota[[#This Row],[Sep]:[Feb]])</f>
        <v>2</v>
      </c>
      <c r="G424" s="11">
        <f>DistMeetingQuota[[#This Row],[Quota]]-DistMeetingQuota[[#This Row],[Actual]]</f>
        <v>0</v>
      </c>
      <c r="H424" s="80">
        <f>DistMeetingQuota[[#This Row],[Actual]]/DistMeetingQuota[[#This Row],[Quota]]</f>
        <v>1</v>
      </c>
      <c r="I424" s="78">
        <v>1</v>
      </c>
      <c r="J424" s="6"/>
      <c r="K424" s="6"/>
      <c r="L424" s="6">
        <v>1</v>
      </c>
      <c r="M424" s="6"/>
      <c r="N424" s="6"/>
      <c r="O424" s="6"/>
      <c r="P424" s="78" t="s">
        <v>10</v>
      </c>
      <c r="Q424" s="2"/>
    </row>
    <row r="425" spans="1:17" s="109" customFormat="1" ht="30">
      <c r="A425" s="149">
        <v>2156905</v>
      </c>
      <c r="B425" s="167" t="s">
        <v>406</v>
      </c>
      <c r="C425" s="149" t="s">
        <v>22</v>
      </c>
      <c r="D425" s="147" t="s">
        <v>13</v>
      </c>
      <c r="E425" s="168">
        <v>3</v>
      </c>
      <c r="F425" s="157">
        <f>SUM(DistMeetingQuota[[#This Row],[Sep]:[Feb]])</f>
        <v>1</v>
      </c>
      <c r="G425" s="157">
        <f>DistMeetingQuota[[#This Row],[Quota]]-DistMeetingQuota[[#This Row],[Actual]]</f>
        <v>2</v>
      </c>
      <c r="H425" s="169">
        <f>DistMeetingQuota[[#This Row],[Actual]]/DistMeetingQuota[[#This Row],[Quota]]</f>
        <v>0.33333333333333331</v>
      </c>
      <c r="I425" s="149"/>
      <c r="J425" s="170"/>
      <c r="K425" s="170">
        <v>1</v>
      </c>
      <c r="L425" s="170"/>
      <c r="M425" s="170"/>
      <c r="N425" s="170"/>
      <c r="O425" s="170"/>
      <c r="P425" s="78" t="s">
        <v>56</v>
      </c>
      <c r="Q425" s="2"/>
    </row>
    <row r="426" spans="1:17" s="109" customFormat="1" ht="30">
      <c r="A426" s="149">
        <v>2156905</v>
      </c>
      <c r="B426" s="167" t="s">
        <v>406</v>
      </c>
      <c r="C426" s="149" t="s">
        <v>22</v>
      </c>
      <c r="D426" s="147" t="s">
        <v>487</v>
      </c>
      <c r="E426" s="168">
        <v>2</v>
      </c>
      <c r="F426" s="157">
        <f>SUM(DistMeetingQuota[[#This Row],[Sep]:[Feb]])</f>
        <v>1</v>
      </c>
      <c r="G426" s="157">
        <f>DistMeetingQuota[[#This Row],[Quota]]-DistMeetingQuota[[#This Row],[Actual]]</f>
        <v>1</v>
      </c>
      <c r="H426" s="169">
        <f>DistMeetingQuota[[#This Row],[Actual]]/DistMeetingQuota[[#This Row],[Quota]]</f>
        <v>0.5</v>
      </c>
      <c r="I426" s="149"/>
      <c r="J426" s="170"/>
      <c r="K426" s="170"/>
      <c r="L426" s="170"/>
      <c r="M426" s="170">
        <v>1</v>
      </c>
      <c r="N426" s="170"/>
      <c r="O426" s="170"/>
      <c r="P426" s="78" t="s">
        <v>56</v>
      </c>
      <c r="Q426" s="2"/>
    </row>
    <row r="427" spans="1:17" s="109" customFormat="1" ht="30">
      <c r="A427" s="78">
        <v>2203399</v>
      </c>
      <c r="B427" s="92" t="s">
        <v>408</v>
      </c>
      <c r="C427" s="78" t="s">
        <v>21</v>
      </c>
      <c r="D427" s="4" t="s">
        <v>11</v>
      </c>
      <c r="E427" s="79">
        <v>3</v>
      </c>
      <c r="F427" s="11">
        <f>SUM(DistMeetingQuota[[#This Row],[Sep]:[Feb]])</f>
        <v>0</v>
      </c>
      <c r="G427" s="11">
        <f>DistMeetingQuota[[#This Row],[Quota]]-DistMeetingQuota[[#This Row],[Actual]]</f>
        <v>3</v>
      </c>
      <c r="H427" s="80">
        <f>DistMeetingQuota[[#This Row],[Actual]]/DistMeetingQuota[[#This Row],[Quota]]</f>
        <v>0</v>
      </c>
      <c r="I427" s="78"/>
      <c r="J427" s="6"/>
      <c r="K427" s="6"/>
      <c r="L427" s="6"/>
      <c r="M427" s="6"/>
      <c r="N427" s="6"/>
      <c r="O427" s="6"/>
      <c r="P427" s="78" t="s">
        <v>10</v>
      </c>
      <c r="Q427" s="2"/>
    </row>
    <row r="428" spans="1:17" s="109" customFormat="1" ht="30">
      <c r="A428" s="78">
        <v>2203399</v>
      </c>
      <c r="B428" s="92" t="s">
        <v>408</v>
      </c>
      <c r="C428" s="78" t="s">
        <v>21</v>
      </c>
      <c r="D428" s="4" t="s">
        <v>13</v>
      </c>
      <c r="E428" s="79">
        <v>2</v>
      </c>
      <c r="F428" s="11">
        <f>SUM(DistMeetingQuota[[#This Row],[Sep]:[Feb]])</f>
        <v>2</v>
      </c>
      <c r="G428" s="11">
        <f>DistMeetingQuota[[#This Row],[Quota]]-DistMeetingQuota[[#This Row],[Actual]]</f>
        <v>0</v>
      </c>
      <c r="H428" s="80">
        <f>DistMeetingQuota[[#This Row],[Actual]]/DistMeetingQuota[[#This Row],[Quota]]</f>
        <v>1</v>
      </c>
      <c r="I428" s="78">
        <v>1</v>
      </c>
      <c r="J428" s="6">
        <v>1</v>
      </c>
      <c r="K428" s="6"/>
      <c r="L428" s="6"/>
      <c r="M428" s="6"/>
      <c r="N428" s="6"/>
      <c r="O428" s="6"/>
      <c r="P428" s="78" t="s">
        <v>10</v>
      </c>
      <c r="Q428" s="2"/>
    </row>
    <row r="429" spans="1:17" s="109" customFormat="1" ht="30">
      <c r="A429" s="78">
        <v>2208992</v>
      </c>
      <c r="B429" s="92" t="s">
        <v>409</v>
      </c>
      <c r="C429" s="78" t="s">
        <v>21</v>
      </c>
      <c r="D429" s="4" t="s">
        <v>11</v>
      </c>
      <c r="E429" s="79">
        <v>3</v>
      </c>
      <c r="F429" s="11">
        <f>SUM(DistMeetingQuota[[#This Row],[Sep]:[Feb]])</f>
        <v>0</v>
      </c>
      <c r="G429" s="11">
        <f>DistMeetingQuota[[#This Row],[Quota]]-DistMeetingQuota[[#This Row],[Actual]]</f>
        <v>3</v>
      </c>
      <c r="H429" s="80">
        <f>DistMeetingQuota[[#This Row],[Actual]]/DistMeetingQuota[[#This Row],[Quota]]</f>
        <v>0</v>
      </c>
      <c r="I429" s="78"/>
      <c r="J429" s="6"/>
      <c r="K429" s="6"/>
      <c r="L429" s="6"/>
      <c r="M429" s="6"/>
      <c r="N429" s="6"/>
      <c r="O429" s="6"/>
      <c r="P429" s="78" t="s">
        <v>10</v>
      </c>
      <c r="Q429" s="2"/>
    </row>
    <row r="430" spans="1:17" s="109" customFormat="1" ht="30">
      <c r="A430" s="78">
        <v>2208992</v>
      </c>
      <c r="B430" s="92" t="s">
        <v>409</v>
      </c>
      <c r="C430" s="78" t="s">
        <v>21</v>
      </c>
      <c r="D430" s="4" t="s">
        <v>13</v>
      </c>
      <c r="E430" s="79">
        <v>2</v>
      </c>
      <c r="F430" s="11">
        <f>SUM(DistMeetingQuota[[#This Row],[Sep]:[Feb]])</f>
        <v>2</v>
      </c>
      <c r="G430" s="11">
        <f>DistMeetingQuota[[#This Row],[Quota]]-DistMeetingQuota[[#This Row],[Actual]]</f>
        <v>0</v>
      </c>
      <c r="H430" s="80">
        <f>DistMeetingQuota[[#This Row],[Actual]]/DistMeetingQuota[[#This Row],[Quota]]</f>
        <v>1</v>
      </c>
      <c r="I430" s="78">
        <v>2</v>
      </c>
      <c r="J430" s="6"/>
      <c r="K430" s="6"/>
      <c r="L430" s="6"/>
      <c r="M430" s="6"/>
      <c r="N430" s="6"/>
      <c r="O430" s="6"/>
      <c r="P430" s="78" t="s">
        <v>10</v>
      </c>
      <c r="Q430" s="2"/>
    </row>
    <row r="431" spans="1:17" s="109" customFormat="1">
      <c r="A431" s="78">
        <v>2011575</v>
      </c>
      <c r="B431" s="92" t="s">
        <v>410</v>
      </c>
      <c r="C431" s="78" t="s">
        <v>19</v>
      </c>
      <c r="D431" s="4" t="s">
        <v>11</v>
      </c>
      <c r="E431" s="79">
        <v>2</v>
      </c>
      <c r="F431" s="11">
        <f>SUM(DistMeetingQuota[[#This Row],[Sep]:[Feb]])</f>
        <v>0</v>
      </c>
      <c r="G431" s="11">
        <f>DistMeetingQuota[[#This Row],[Quota]]-DistMeetingQuota[[#This Row],[Actual]]</f>
        <v>2</v>
      </c>
      <c r="H431" s="80">
        <f>DistMeetingQuota[[#This Row],[Actual]]/DistMeetingQuota[[#This Row],[Quota]]</f>
        <v>0</v>
      </c>
      <c r="I431" s="78"/>
      <c r="J431" s="6"/>
      <c r="K431" s="6"/>
      <c r="L431" s="6"/>
      <c r="M431" s="6"/>
      <c r="N431" s="6"/>
      <c r="O431" s="6"/>
      <c r="P431" s="78" t="s">
        <v>14</v>
      </c>
      <c r="Q431" s="2"/>
    </row>
    <row r="432" spans="1:17" s="109" customFormat="1">
      <c r="A432" s="78">
        <v>2136396</v>
      </c>
      <c r="B432" s="92" t="s">
        <v>411</v>
      </c>
      <c r="C432" s="78" t="s">
        <v>19</v>
      </c>
      <c r="D432" s="4" t="s">
        <v>11</v>
      </c>
      <c r="E432" s="79">
        <v>2</v>
      </c>
      <c r="F432" s="11">
        <f>SUM(DistMeetingQuota[[#This Row],[Sep]:[Feb]])</f>
        <v>0</v>
      </c>
      <c r="G432" s="11">
        <f>DistMeetingQuota[[#This Row],[Quota]]-DistMeetingQuota[[#This Row],[Actual]]</f>
        <v>2</v>
      </c>
      <c r="H432" s="80">
        <f>DistMeetingQuota[[#This Row],[Actual]]/DistMeetingQuota[[#This Row],[Quota]]</f>
        <v>0</v>
      </c>
      <c r="I432" s="78"/>
      <c r="J432" s="6"/>
      <c r="K432" s="6"/>
      <c r="L432" s="6"/>
      <c r="M432" s="6"/>
      <c r="N432" s="6"/>
      <c r="O432" s="6"/>
      <c r="P432" s="78" t="s">
        <v>14</v>
      </c>
      <c r="Q432" s="2"/>
    </row>
    <row r="433" spans="1:17" s="109" customFormat="1" ht="30">
      <c r="A433" s="78">
        <v>2244328</v>
      </c>
      <c r="B433" s="92" t="s">
        <v>412</v>
      </c>
      <c r="C433" s="78" t="s">
        <v>19</v>
      </c>
      <c r="D433" s="4" t="s">
        <v>5</v>
      </c>
      <c r="E433" s="79">
        <v>24</v>
      </c>
      <c r="F433" s="11">
        <f>SUM(DistMeetingQuota[[#This Row],[Sep]:[Feb]])</f>
        <v>1</v>
      </c>
      <c r="G433" s="11">
        <f>DistMeetingQuota[[#This Row],[Quota]]-DistMeetingQuota[[#This Row],[Actual]]</f>
        <v>23</v>
      </c>
      <c r="H433" s="80">
        <f>DistMeetingQuota[[#This Row],[Actual]]/DistMeetingQuota[[#This Row],[Quota]]</f>
        <v>4.1666666666666664E-2</v>
      </c>
      <c r="I433" s="78"/>
      <c r="J433" s="6"/>
      <c r="K433" s="6"/>
      <c r="L433" s="6"/>
      <c r="M433" s="6">
        <v>1</v>
      </c>
      <c r="N433" s="6">
        <v>0</v>
      </c>
      <c r="O433" s="6"/>
      <c r="P433" s="78" t="s">
        <v>67</v>
      </c>
      <c r="Q433" s="2"/>
    </row>
    <row r="434" spans="1:17" s="109" customFormat="1" ht="30">
      <c r="A434" s="78">
        <v>2244328</v>
      </c>
      <c r="B434" s="92" t="s">
        <v>412</v>
      </c>
      <c r="C434" s="78" t="s">
        <v>21</v>
      </c>
      <c r="D434" s="4" t="s">
        <v>13</v>
      </c>
      <c r="E434" s="79">
        <v>2</v>
      </c>
      <c r="F434" s="11">
        <f>SUM(DistMeetingQuota[[#This Row],[Sep]:[Feb]])</f>
        <v>0</v>
      </c>
      <c r="G434" s="11">
        <f>DistMeetingQuota[[#This Row],[Quota]]-DistMeetingQuota[[#This Row],[Actual]]</f>
        <v>2</v>
      </c>
      <c r="H434" s="80">
        <f>DistMeetingQuota[[#This Row],[Actual]]/DistMeetingQuota[[#This Row],[Quota]]</f>
        <v>0</v>
      </c>
      <c r="I434" s="78"/>
      <c r="J434" s="6"/>
      <c r="K434" s="6"/>
      <c r="L434" s="6"/>
      <c r="M434" s="6"/>
      <c r="N434" s="6"/>
      <c r="O434" s="6"/>
      <c r="P434" s="78" t="s">
        <v>67</v>
      </c>
      <c r="Q434" s="2"/>
    </row>
    <row r="435" spans="1:17" s="109" customFormat="1" ht="30">
      <c r="A435" s="78">
        <v>2201359</v>
      </c>
      <c r="B435" s="92" t="s">
        <v>413</v>
      </c>
      <c r="C435" s="78" t="s">
        <v>19</v>
      </c>
      <c r="D435" s="4" t="s">
        <v>5</v>
      </c>
      <c r="E435" s="79">
        <v>24</v>
      </c>
      <c r="F435" s="11">
        <f>SUM(DistMeetingQuota[[#This Row],[Sep]:[Feb]])</f>
        <v>0</v>
      </c>
      <c r="G435" s="11">
        <f>DistMeetingQuota[[#This Row],[Quota]]-DistMeetingQuota[[#This Row],[Actual]]</f>
        <v>24</v>
      </c>
      <c r="H435" s="80">
        <f>DistMeetingQuota[[#This Row],[Actual]]/DistMeetingQuota[[#This Row],[Quota]]</f>
        <v>0</v>
      </c>
      <c r="I435" s="78"/>
      <c r="J435" s="6"/>
      <c r="K435" s="6"/>
      <c r="L435" s="6"/>
      <c r="M435" s="6"/>
      <c r="N435" s="6"/>
      <c r="O435" s="6"/>
      <c r="P435" s="78" t="s">
        <v>65</v>
      </c>
      <c r="Q435" s="2"/>
    </row>
    <row r="436" spans="1:17" s="109" customFormat="1" ht="30">
      <c r="A436" s="78">
        <v>2201359</v>
      </c>
      <c r="B436" s="92" t="s">
        <v>413</v>
      </c>
      <c r="C436" s="78" t="s">
        <v>19</v>
      </c>
      <c r="D436" s="4" t="s">
        <v>11</v>
      </c>
      <c r="E436" s="79">
        <v>2</v>
      </c>
      <c r="F436" s="11">
        <f>SUM(DistMeetingQuota[[#This Row],[Sep]:[Feb]])</f>
        <v>0</v>
      </c>
      <c r="G436" s="11">
        <f>DistMeetingQuota[[#This Row],[Quota]]-DistMeetingQuota[[#This Row],[Actual]]</f>
        <v>2</v>
      </c>
      <c r="H436" s="80">
        <f>DistMeetingQuota[[#This Row],[Actual]]/DistMeetingQuota[[#This Row],[Quota]]</f>
        <v>0</v>
      </c>
      <c r="I436" s="78"/>
      <c r="J436" s="6"/>
      <c r="K436" s="6"/>
      <c r="L436" s="6"/>
      <c r="M436" s="6"/>
      <c r="N436" s="6"/>
      <c r="O436" s="6"/>
      <c r="P436" s="78" t="s">
        <v>65</v>
      </c>
      <c r="Q436" s="2"/>
    </row>
    <row r="437" spans="1:17" s="109" customFormat="1" ht="30">
      <c r="A437" s="78">
        <v>2203569</v>
      </c>
      <c r="B437" s="92" t="s">
        <v>414</v>
      </c>
      <c r="C437" s="78" t="s">
        <v>21</v>
      </c>
      <c r="D437" s="4" t="s">
        <v>13</v>
      </c>
      <c r="E437" s="79">
        <v>2</v>
      </c>
      <c r="F437" s="11">
        <f>SUM(DistMeetingQuota[[#This Row],[Sep]:[Feb]])</f>
        <v>2</v>
      </c>
      <c r="G437" s="11">
        <f>DistMeetingQuota[[#This Row],[Quota]]-DistMeetingQuota[[#This Row],[Actual]]</f>
        <v>0</v>
      </c>
      <c r="H437" s="80">
        <f>DistMeetingQuota[[#This Row],[Actual]]/DistMeetingQuota[[#This Row],[Quota]]</f>
        <v>1</v>
      </c>
      <c r="I437" s="78"/>
      <c r="J437" s="6">
        <v>2</v>
      </c>
      <c r="K437" s="6"/>
      <c r="L437" s="6"/>
      <c r="M437" s="6"/>
      <c r="N437" s="6"/>
      <c r="O437" s="6"/>
      <c r="P437" s="78" t="s">
        <v>10</v>
      </c>
      <c r="Q437" s="2"/>
    </row>
    <row r="438" spans="1:17" s="109" customFormat="1" ht="30">
      <c r="A438" s="78">
        <v>2203569</v>
      </c>
      <c r="B438" s="92" t="s">
        <v>414</v>
      </c>
      <c r="C438" s="78" t="s">
        <v>21</v>
      </c>
      <c r="D438" s="4" t="s">
        <v>11</v>
      </c>
      <c r="E438" s="79">
        <v>3</v>
      </c>
      <c r="F438" s="11">
        <f>SUM(DistMeetingQuota[[#This Row],[Sep]:[Feb]])</f>
        <v>2</v>
      </c>
      <c r="G438" s="11">
        <f>DistMeetingQuota[[#This Row],[Quota]]-DistMeetingQuota[[#This Row],[Actual]]</f>
        <v>1</v>
      </c>
      <c r="H438" s="80">
        <f>DistMeetingQuota[[#This Row],[Actual]]/DistMeetingQuota[[#This Row],[Quota]]</f>
        <v>0.66666666666666663</v>
      </c>
      <c r="I438" s="78">
        <v>2</v>
      </c>
      <c r="J438" s="6"/>
      <c r="K438" s="6"/>
      <c r="L438" s="6"/>
      <c r="M438" s="6"/>
      <c r="N438" s="6"/>
      <c r="O438" s="6"/>
      <c r="P438" s="78" t="s">
        <v>10</v>
      </c>
      <c r="Q438" s="2"/>
    </row>
    <row r="439" spans="1:17" s="109" customFormat="1">
      <c r="A439" s="78">
        <v>2065342</v>
      </c>
      <c r="B439" s="92" t="s">
        <v>415</v>
      </c>
      <c r="C439" s="78" t="s">
        <v>19</v>
      </c>
      <c r="D439" s="4" t="s">
        <v>11</v>
      </c>
      <c r="E439" s="79">
        <v>2</v>
      </c>
      <c r="F439" s="11">
        <f>SUM(DistMeetingQuota[[#This Row],[Sep]:[Feb]])</f>
        <v>0</v>
      </c>
      <c r="G439" s="11">
        <f>DistMeetingQuota[[#This Row],[Quota]]-DistMeetingQuota[[#This Row],[Actual]]</f>
        <v>2</v>
      </c>
      <c r="H439" s="80">
        <f>DistMeetingQuota[[#This Row],[Actual]]/DistMeetingQuota[[#This Row],[Quota]]</f>
        <v>0</v>
      </c>
      <c r="I439" s="78"/>
      <c r="J439" s="6"/>
      <c r="K439" s="6"/>
      <c r="L439" s="6"/>
      <c r="M439" s="6"/>
      <c r="N439" s="6"/>
      <c r="O439" s="6"/>
      <c r="P439" s="78" t="s">
        <v>10</v>
      </c>
      <c r="Q439" s="2"/>
    </row>
    <row r="440" spans="1:17" s="109" customFormat="1">
      <c r="A440" s="78">
        <v>2080259</v>
      </c>
      <c r="B440" s="92" t="s">
        <v>416</v>
      </c>
      <c r="C440" s="78" t="s">
        <v>21</v>
      </c>
      <c r="D440" s="4" t="s">
        <v>13</v>
      </c>
      <c r="E440" s="79">
        <v>2</v>
      </c>
      <c r="F440" s="11">
        <f>SUM(DistMeetingQuota[[#This Row],[Sep]:[Feb]])</f>
        <v>0</v>
      </c>
      <c r="G440" s="11">
        <f>DistMeetingQuota[[#This Row],[Quota]]-DistMeetingQuota[[#This Row],[Actual]]</f>
        <v>2</v>
      </c>
      <c r="H440" s="80">
        <f>DistMeetingQuota[[#This Row],[Actual]]/DistMeetingQuota[[#This Row],[Quota]]</f>
        <v>0</v>
      </c>
      <c r="I440" s="78"/>
      <c r="J440" s="6"/>
      <c r="K440" s="6"/>
      <c r="L440" s="6"/>
      <c r="M440" s="6"/>
      <c r="N440" s="6"/>
      <c r="O440" s="6"/>
      <c r="P440" s="78" t="s">
        <v>10</v>
      </c>
      <c r="Q440" s="2"/>
    </row>
    <row r="441" spans="1:17" s="109" customFormat="1">
      <c r="A441" s="78">
        <v>2080259</v>
      </c>
      <c r="B441" s="92" t="s">
        <v>416</v>
      </c>
      <c r="C441" s="78" t="s">
        <v>21</v>
      </c>
      <c r="D441" s="4" t="s">
        <v>11</v>
      </c>
      <c r="E441" s="79">
        <v>3</v>
      </c>
      <c r="F441" s="11">
        <f>SUM(DistMeetingQuota[[#This Row],[Sep]:[Feb]])</f>
        <v>3</v>
      </c>
      <c r="G441" s="11">
        <f>DistMeetingQuota[[#This Row],[Quota]]-DistMeetingQuota[[#This Row],[Actual]]</f>
        <v>0</v>
      </c>
      <c r="H441" s="80">
        <f>DistMeetingQuota[[#This Row],[Actual]]/DistMeetingQuota[[#This Row],[Quota]]</f>
        <v>1</v>
      </c>
      <c r="I441" s="78"/>
      <c r="J441" s="6"/>
      <c r="K441" s="6"/>
      <c r="L441" s="6"/>
      <c r="M441" s="6"/>
      <c r="N441" s="6">
        <v>3</v>
      </c>
      <c r="O441" s="6"/>
      <c r="P441" s="78" t="s">
        <v>10</v>
      </c>
      <c r="Q441" s="2"/>
    </row>
    <row r="442" spans="1:17" s="109" customFormat="1">
      <c r="A442" s="78">
        <v>2100151</v>
      </c>
      <c r="B442" s="92" t="s">
        <v>417</v>
      </c>
      <c r="C442" s="78" t="s">
        <v>19</v>
      </c>
      <c r="D442" s="4" t="s">
        <v>11</v>
      </c>
      <c r="E442" s="79">
        <v>2</v>
      </c>
      <c r="F442" s="11">
        <f>SUM(DistMeetingQuota[[#This Row],[Sep]:[Feb]])</f>
        <v>1</v>
      </c>
      <c r="G442" s="11">
        <f>DistMeetingQuota[[#This Row],[Quota]]-DistMeetingQuota[[#This Row],[Actual]]</f>
        <v>1</v>
      </c>
      <c r="H442" s="80">
        <f>DistMeetingQuota[[#This Row],[Actual]]/DistMeetingQuota[[#This Row],[Quota]]</f>
        <v>0.5</v>
      </c>
      <c r="I442" s="78"/>
      <c r="J442" s="6">
        <v>1</v>
      </c>
      <c r="K442" s="6"/>
      <c r="L442" s="6"/>
      <c r="M442" s="6"/>
      <c r="N442" s="6"/>
      <c r="O442" s="6"/>
      <c r="P442" s="78" t="s">
        <v>10</v>
      </c>
      <c r="Q442" s="6"/>
    </row>
    <row r="443" spans="1:17" s="109" customFormat="1">
      <c r="A443" s="78">
        <v>2291007</v>
      </c>
      <c r="B443" s="92" t="s">
        <v>419</v>
      </c>
      <c r="C443" s="78" t="s">
        <v>19</v>
      </c>
      <c r="D443" s="4" t="s">
        <v>5</v>
      </c>
      <c r="E443" s="79">
        <v>24</v>
      </c>
      <c r="F443" s="11">
        <f>SUM(DistMeetingQuota[[#This Row],[Sep]:[Feb]])</f>
        <v>0</v>
      </c>
      <c r="G443" s="11">
        <f>DistMeetingQuota[[#This Row],[Quota]]-DistMeetingQuota[[#This Row],[Actual]]</f>
        <v>24</v>
      </c>
      <c r="H443" s="80">
        <f>DistMeetingQuota[[#This Row],[Actual]]/DistMeetingQuota[[#This Row],[Quota]]</f>
        <v>0</v>
      </c>
      <c r="I443" s="78"/>
      <c r="J443" s="6"/>
      <c r="K443" s="6"/>
      <c r="L443" s="6"/>
      <c r="M443" s="6"/>
      <c r="N443" s="6"/>
      <c r="O443" s="6"/>
      <c r="P443" s="78" t="s">
        <v>65</v>
      </c>
      <c r="Q443" s="6"/>
    </row>
    <row r="444" spans="1:17" s="109" customFormat="1">
      <c r="A444" s="78">
        <v>2291007</v>
      </c>
      <c r="B444" s="92" t="s">
        <v>419</v>
      </c>
      <c r="C444" s="78" t="s">
        <v>19</v>
      </c>
      <c r="D444" s="4" t="s">
        <v>11</v>
      </c>
      <c r="E444" s="79">
        <v>2</v>
      </c>
      <c r="F444" s="11">
        <f>SUM(DistMeetingQuota[[#This Row],[Sep]:[Feb]])</f>
        <v>0</v>
      </c>
      <c r="G444" s="11">
        <f>DistMeetingQuota[[#This Row],[Quota]]-DistMeetingQuota[[#This Row],[Actual]]</f>
        <v>2</v>
      </c>
      <c r="H444" s="80">
        <f>DistMeetingQuota[[#This Row],[Actual]]/DistMeetingQuota[[#This Row],[Quota]]</f>
        <v>0</v>
      </c>
      <c r="I444" s="78"/>
      <c r="J444" s="6"/>
      <c r="K444" s="6"/>
      <c r="L444" s="6"/>
      <c r="M444" s="6"/>
      <c r="N444" s="6"/>
      <c r="O444" s="6"/>
      <c r="P444" s="78" t="s">
        <v>65</v>
      </c>
      <c r="Q444" s="6"/>
    </row>
    <row r="445" spans="1:17" s="109" customFormat="1" ht="30">
      <c r="A445" s="78">
        <v>2068303</v>
      </c>
      <c r="B445" s="92" t="s">
        <v>420</v>
      </c>
      <c r="C445" s="78" t="s">
        <v>19</v>
      </c>
      <c r="D445" s="4" t="s">
        <v>11</v>
      </c>
      <c r="E445" s="79">
        <v>2</v>
      </c>
      <c r="F445" s="11">
        <f>SUM(DistMeetingQuota[[#This Row],[Sep]:[Feb]])</f>
        <v>0</v>
      </c>
      <c r="G445" s="11">
        <f>DistMeetingQuota[[#This Row],[Quota]]-DistMeetingQuota[[#This Row],[Actual]]</f>
        <v>2</v>
      </c>
      <c r="H445" s="80">
        <f>DistMeetingQuota[[#This Row],[Actual]]/DistMeetingQuota[[#This Row],[Quota]]</f>
        <v>0</v>
      </c>
      <c r="I445" s="78"/>
      <c r="J445" s="6"/>
      <c r="K445" s="6"/>
      <c r="L445" s="6"/>
      <c r="M445" s="6"/>
      <c r="N445" s="6"/>
      <c r="O445" s="6"/>
      <c r="P445" s="78" t="s">
        <v>10</v>
      </c>
      <c r="Q445" s="6"/>
    </row>
    <row r="446" spans="1:17" s="109" customFormat="1" ht="30">
      <c r="A446" s="78">
        <v>2190745</v>
      </c>
      <c r="B446" s="92" t="s">
        <v>502</v>
      </c>
      <c r="C446" s="78" t="s">
        <v>19</v>
      </c>
      <c r="D446" s="4" t="s">
        <v>11</v>
      </c>
      <c r="E446" s="79">
        <v>2</v>
      </c>
      <c r="F446" s="11">
        <f>SUM(DistMeetingQuota[[#This Row],[Sep]:[Feb]])</f>
        <v>0</v>
      </c>
      <c r="G446" s="11">
        <f>DistMeetingQuota[[#This Row],[Quota]]-DistMeetingQuota[[#This Row],[Actual]]</f>
        <v>2</v>
      </c>
      <c r="H446" s="80">
        <f>DistMeetingQuota[[#This Row],[Actual]]/DistMeetingQuota[[#This Row],[Quota]]</f>
        <v>0</v>
      </c>
      <c r="I446" s="78"/>
      <c r="J446" s="6"/>
      <c r="K446" s="6"/>
      <c r="L446" s="6"/>
      <c r="M446" s="6"/>
      <c r="N446" s="6"/>
      <c r="O446" s="6"/>
      <c r="P446" s="78" t="s">
        <v>14</v>
      </c>
      <c r="Q446" s="6"/>
    </row>
    <row r="447" spans="1:17" s="109" customFormat="1" ht="30">
      <c r="A447" s="78">
        <v>2235398</v>
      </c>
      <c r="B447" s="92" t="s">
        <v>421</v>
      </c>
      <c r="C447" s="78" t="s">
        <v>21</v>
      </c>
      <c r="D447" s="4" t="s">
        <v>11</v>
      </c>
      <c r="E447" s="79">
        <v>3</v>
      </c>
      <c r="F447" s="11">
        <f>SUM(DistMeetingQuota[[#This Row],[Sep]:[Feb]])</f>
        <v>3</v>
      </c>
      <c r="G447" s="11">
        <f>DistMeetingQuota[[#This Row],[Quota]]-DistMeetingQuota[[#This Row],[Actual]]</f>
        <v>0</v>
      </c>
      <c r="H447" s="80">
        <f>DistMeetingQuota[[#This Row],[Actual]]/DistMeetingQuota[[#This Row],[Quota]]</f>
        <v>1</v>
      </c>
      <c r="I447" s="78">
        <v>2</v>
      </c>
      <c r="J447" s="6"/>
      <c r="K447" s="6"/>
      <c r="L447" s="6">
        <v>1</v>
      </c>
      <c r="M447" s="6"/>
      <c r="N447" s="6"/>
      <c r="O447" s="6"/>
      <c r="P447" s="78" t="s">
        <v>470</v>
      </c>
      <c r="Q447" s="6"/>
    </row>
    <row r="448" spans="1:17" s="109" customFormat="1" ht="30">
      <c r="A448" s="78">
        <v>2235398</v>
      </c>
      <c r="B448" s="92" t="s">
        <v>421</v>
      </c>
      <c r="C448" s="78" t="s">
        <v>21</v>
      </c>
      <c r="D448" s="4" t="s">
        <v>13</v>
      </c>
      <c r="E448" s="79">
        <v>2</v>
      </c>
      <c r="F448" s="11">
        <f>SUM(DistMeetingQuota[[#This Row],[Sep]:[Feb]])</f>
        <v>0</v>
      </c>
      <c r="G448" s="11">
        <f>DistMeetingQuota[[#This Row],[Quota]]-DistMeetingQuota[[#This Row],[Actual]]</f>
        <v>2</v>
      </c>
      <c r="H448" s="80">
        <f>DistMeetingQuota[[#This Row],[Actual]]/DistMeetingQuota[[#This Row],[Quota]]</f>
        <v>0</v>
      </c>
      <c r="I448" s="78"/>
      <c r="J448" s="6"/>
      <c r="K448" s="6"/>
      <c r="L448" s="6"/>
      <c r="M448" s="6"/>
      <c r="N448" s="6"/>
      <c r="O448" s="6"/>
      <c r="P448" s="78" t="s">
        <v>470</v>
      </c>
      <c r="Q448" s="6"/>
    </row>
    <row r="449" spans="1:17" s="109" customFormat="1">
      <c r="A449" s="78">
        <v>2091569</v>
      </c>
      <c r="B449" s="92" t="s">
        <v>422</v>
      </c>
      <c r="C449" s="78" t="s">
        <v>19</v>
      </c>
      <c r="D449" s="4" t="s">
        <v>5</v>
      </c>
      <c r="E449" s="79">
        <v>24</v>
      </c>
      <c r="F449" s="11">
        <f>SUM(DistMeetingQuota[[#This Row],[Sep]:[Feb]])</f>
        <v>0</v>
      </c>
      <c r="G449" s="11">
        <f>DistMeetingQuota[[#This Row],[Quota]]-DistMeetingQuota[[#This Row],[Actual]]</f>
        <v>24</v>
      </c>
      <c r="H449" s="80">
        <f>DistMeetingQuota[[#This Row],[Actual]]/DistMeetingQuota[[#This Row],[Quota]]</f>
        <v>0</v>
      </c>
      <c r="I449" s="78"/>
      <c r="J449" s="6"/>
      <c r="K449" s="6"/>
      <c r="L449" s="6"/>
      <c r="M449" s="6"/>
      <c r="N449" s="6"/>
      <c r="O449" s="6"/>
      <c r="P449" s="78" t="s">
        <v>55</v>
      </c>
      <c r="Q449" s="6"/>
    </row>
    <row r="450" spans="1:17" s="109" customFormat="1">
      <c r="A450" s="78">
        <v>2091569</v>
      </c>
      <c r="B450" s="92" t="s">
        <v>422</v>
      </c>
      <c r="C450" s="78" t="s">
        <v>19</v>
      </c>
      <c r="D450" s="4" t="s">
        <v>11</v>
      </c>
      <c r="E450" s="79">
        <v>2</v>
      </c>
      <c r="F450" s="11">
        <f>SUM(DistMeetingQuota[[#This Row],[Sep]:[Feb]])</f>
        <v>0</v>
      </c>
      <c r="G450" s="11">
        <f>DistMeetingQuota[[#This Row],[Quota]]-DistMeetingQuota[[#This Row],[Actual]]</f>
        <v>2</v>
      </c>
      <c r="H450" s="80">
        <f>DistMeetingQuota[[#This Row],[Actual]]/DistMeetingQuota[[#This Row],[Quota]]</f>
        <v>0</v>
      </c>
      <c r="I450" s="78"/>
      <c r="J450" s="6"/>
      <c r="K450" s="6"/>
      <c r="L450" s="6"/>
      <c r="M450" s="6"/>
      <c r="N450" s="6"/>
      <c r="O450" s="6"/>
      <c r="P450" s="78" t="s">
        <v>55</v>
      </c>
      <c r="Q450" s="6"/>
    </row>
    <row r="451" spans="1:17" s="109" customFormat="1" ht="30">
      <c r="A451" s="78">
        <v>2022454</v>
      </c>
      <c r="B451" s="92" t="s">
        <v>423</v>
      </c>
      <c r="C451" s="78" t="s">
        <v>19</v>
      </c>
      <c r="D451" s="4" t="s">
        <v>5</v>
      </c>
      <c r="E451" s="79">
        <v>24</v>
      </c>
      <c r="F451" s="11">
        <f>SUM(DistMeetingQuota[[#This Row],[Sep]:[Feb]])</f>
        <v>0</v>
      </c>
      <c r="G451" s="11">
        <f>DistMeetingQuota[[#This Row],[Quota]]-DistMeetingQuota[[#This Row],[Actual]]</f>
        <v>24</v>
      </c>
      <c r="H451" s="80">
        <f>DistMeetingQuota[[#This Row],[Actual]]/DistMeetingQuota[[#This Row],[Quota]]</f>
        <v>0</v>
      </c>
      <c r="I451" s="78"/>
      <c r="J451" s="6"/>
      <c r="K451" s="6"/>
      <c r="L451" s="6"/>
      <c r="M451" s="6"/>
      <c r="N451" s="6"/>
      <c r="O451" s="6"/>
      <c r="P451" s="78" t="s">
        <v>496</v>
      </c>
      <c r="Q451" s="6"/>
    </row>
    <row r="452" spans="1:17" s="109" customFormat="1" ht="30">
      <c r="A452" s="78">
        <v>2022454</v>
      </c>
      <c r="B452" s="92" t="s">
        <v>423</v>
      </c>
      <c r="C452" s="78" t="s">
        <v>19</v>
      </c>
      <c r="D452" s="4" t="s">
        <v>11</v>
      </c>
      <c r="E452" s="79">
        <v>2</v>
      </c>
      <c r="F452" s="11">
        <f>SUM(DistMeetingQuota[[#This Row],[Sep]:[Feb]])</f>
        <v>0</v>
      </c>
      <c r="G452" s="11">
        <f>DistMeetingQuota[[#This Row],[Quota]]-DistMeetingQuota[[#This Row],[Actual]]</f>
        <v>2</v>
      </c>
      <c r="H452" s="80">
        <f>DistMeetingQuota[[#This Row],[Actual]]/DistMeetingQuota[[#This Row],[Quota]]</f>
        <v>0</v>
      </c>
      <c r="I452" s="78"/>
      <c r="J452" s="6"/>
      <c r="K452" s="6"/>
      <c r="L452" s="6"/>
      <c r="M452" s="6"/>
      <c r="N452" s="6"/>
      <c r="O452" s="6"/>
      <c r="P452" s="78" t="s">
        <v>496</v>
      </c>
      <c r="Q452" s="6"/>
    </row>
    <row r="453" spans="1:17" s="109" customFormat="1" ht="30">
      <c r="A453" s="78">
        <v>2085347</v>
      </c>
      <c r="B453" s="199" t="s">
        <v>774</v>
      </c>
      <c r="C453" s="78" t="s">
        <v>19</v>
      </c>
      <c r="D453" s="4" t="s">
        <v>11</v>
      </c>
      <c r="E453" s="79">
        <v>2</v>
      </c>
      <c r="F453" s="11">
        <f>SUM(DistMeetingQuota[[#This Row],[Sep]:[Feb]])</f>
        <v>0</v>
      </c>
      <c r="G453" s="11">
        <f>DistMeetingQuota[[#This Row],[Quota]]-DistMeetingQuota[[#This Row],[Actual]]</f>
        <v>2</v>
      </c>
      <c r="H453" s="80">
        <f>DistMeetingQuota[[#This Row],[Actual]]/DistMeetingQuota[[#This Row],[Quota]]</f>
        <v>0</v>
      </c>
      <c r="I453" s="78"/>
      <c r="J453" s="6"/>
      <c r="K453" s="6"/>
      <c r="L453" s="6"/>
      <c r="M453" s="6"/>
      <c r="N453" s="6"/>
      <c r="O453" s="6"/>
      <c r="P453" s="78" t="s">
        <v>10</v>
      </c>
      <c r="Q453" s="6"/>
    </row>
    <row r="454" spans="1:17" s="109" customFormat="1">
      <c r="A454" s="78">
        <v>2121819</v>
      </c>
      <c r="B454" s="92" t="s">
        <v>425</v>
      </c>
      <c r="C454" s="78" t="s">
        <v>19</v>
      </c>
      <c r="D454" s="4" t="s">
        <v>11</v>
      </c>
      <c r="E454" s="79">
        <v>2</v>
      </c>
      <c r="F454" s="11">
        <f>SUM(DistMeetingQuota[[#This Row],[Sep]:[Feb]])</f>
        <v>1</v>
      </c>
      <c r="G454" s="11">
        <f>DistMeetingQuota[[#This Row],[Quota]]-DistMeetingQuota[[#This Row],[Actual]]</f>
        <v>1</v>
      </c>
      <c r="H454" s="80">
        <f>DistMeetingQuota[[#This Row],[Actual]]/DistMeetingQuota[[#This Row],[Quota]]</f>
        <v>0.5</v>
      </c>
      <c r="I454" s="78"/>
      <c r="J454" s="6"/>
      <c r="K454" s="6"/>
      <c r="L454" s="6">
        <v>1</v>
      </c>
      <c r="M454" s="6"/>
      <c r="N454" s="6"/>
      <c r="O454" s="6"/>
      <c r="P454" s="78" t="s">
        <v>503</v>
      </c>
      <c r="Q454" s="6"/>
    </row>
    <row r="455" spans="1:17" s="109" customFormat="1" ht="30">
      <c r="A455" s="78">
        <v>2176220</v>
      </c>
      <c r="B455" s="92" t="s">
        <v>427</v>
      </c>
      <c r="C455" s="78" t="s">
        <v>33</v>
      </c>
      <c r="D455" s="4" t="s">
        <v>5</v>
      </c>
      <c r="E455" s="79">
        <v>24</v>
      </c>
      <c r="F455" s="11">
        <f>SUM(DistMeetingQuota[[#This Row],[Sep]:[Feb]])</f>
        <v>8</v>
      </c>
      <c r="G455" s="11">
        <f>DistMeetingQuota[[#This Row],[Quota]]-DistMeetingQuota[[#This Row],[Actual]]</f>
        <v>16</v>
      </c>
      <c r="H455" s="80">
        <f>DistMeetingQuota[[#This Row],[Actual]]/DistMeetingQuota[[#This Row],[Quota]]</f>
        <v>0.33333333333333331</v>
      </c>
      <c r="I455" s="78"/>
      <c r="J455" s="6">
        <v>4</v>
      </c>
      <c r="K455" s="6"/>
      <c r="L455" s="6"/>
      <c r="M455" s="6"/>
      <c r="N455" s="6">
        <v>4</v>
      </c>
      <c r="O455" s="6"/>
      <c r="P455" s="78" t="s">
        <v>67</v>
      </c>
      <c r="Q455" s="6"/>
    </row>
    <row r="456" spans="1:17" s="109" customFormat="1" ht="30">
      <c r="A456" s="78">
        <v>2176220</v>
      </c>
      <c r="B456" s="92" t="s">
        <v>427</v>
      </c>
      <c r="C456" s="78" t="s">
        <v>33</v>
      </c>
      <c r="D456" s="4" t="s">
        <v>11</v>
      </c>
      <c r="E456" s="79">
        <v>2</v>
      </c>
      <c r="F456" s="11">
        <f>SUM(DistMeetingQuota[[#This Row],[Sep]:[Feb]])</f>
        <v>2</v>
      </c>
      <c r="G456" s="11">
        <f>DistMeetingQuota[[#This Row],[Quota]]-DistMeetingQuota[[#This Row],[Actual]]</f>
        <v>0</v>
      </c>
      <c r="H456" s="80">
        <f>DistMeetingQuota[[#This Row],[Actual]]/DistMeetingQuota[[#This Row],[Quota]]</f>
        <v>1</v>
      </c>
      <c r="I456" s="78"/>
      <c r="J456" s="6"/>
      <c r="K456" s="6"/>
      <c r="L456" s="6"/>
      <c r="M456" s="6"/>
      <c r="N456" s="6">
        <v>2</v>
      </c>
      <c r="O456" s="6"/>
      <c r="P456" s="78" t="s">
        <v>67</v>
      </c>
      <c r="Q456" s="6"/>
    </row>
    <row r="457" spans="1:17" s="109" customFormat="1" ht="30">
      <c r="A457" s="78">
        <v>2013712</v>
      </c>
      <c r="B457" s="92" t="s">
        <v>428</v>
      </c>
      <c r="C457" s="78" t="s">
        <v>36</v>
      </c>
      <c r="D457" s="4" t="s">
        <v>11</v>
      </c>
      <c r="E457" s="79">
        <v>2</v>
      </c>
      <c r="F457" s="11">
        <f>SUM(DistMeetingQuota[[#This Row],[Sep]:[Feb]])</f>
        <v>0</v>
      </c>
      <c r="G457" s="11">
        <f>DistMeetingQuota[[#This Row],[Quota]]-DistMeetingQuota[[#This Row],[Actual]]</f>
        <v>2</v>
      </c>
      <c r="H457" s="80">
        <f>DistMeetingQuota[[#This Row],[Actual]]/DistMeetingQuota[[#This Row],[Quota]]</f>
        <v>0</v>
      </c>
      <c r="I457" s="78"/>
      <c r="J457" s="6"/>
      <c r="K457" s="6"/>
      <c r="L457" s="6"/>
      <c r="M457" s="6"/>
      <c r="N457" s="6"/>
      <c r="O457" s="6"/>
      <c r="P457" s="78" t="s">
        <v>14</v>
      </c>
      <c r="Q457" s="6"/>
    </row>
    <row r="458" spans="1:17" s="109" customFormat="1" ht="30">
      <c r="A458" s="78">
        <v>2180810</v>
      </c>
      <c r="B458" s="92" t="s">
        <v>429</v>
      </c>
      <c r="C458" s="78" t="s">
        <v>19</v>
      </c>
      <c r="D458" s="4" t="s">
        <v>11</v>
      </c>
      <c r="E458" s="79">
        <v>2</v>
      </c>
      <c r="F458" s="11">
        <f>SUM(DistMeetingQuota[[#This Row],[Sep]:[Feb]])</f>
        <v>0</v>
      </c>
      <c r="G458" s="11">
        <f>DistMeetingQuota[[#This Row],[Quota]]-DistMeetingQuota[[#This Row],[Actual]]</f>
        <v>2</v>
      </c>
      <c r="H458" s="80">
        <f>DistMeetingQuota[[#This Row],[Actual]]/DistMeetingQuota[[#This Row],[Quota]]</f>
        <v>0</v>
      </c>
      <c r="I458" s="78"/>
      <c r="J458" s="6"/>
      <c r="K458" s="6"/>
      <c r="L458" s="6"/>
      <c r="M458" s="6"/>
      <c r="N458" s="6"/>
      <c r="O458" s="6"/>
      <c r="P458" s="78" t="s">
        <v>14</v>
      </c>
      <c r="Q458" s="6"/>
    </row>
    <row r="459" spans="1:17" s="109" customFormat="1">
      <c r="A459" s="78">
        <v>2008990</v>
      </c>
      <c r="B459" s="92" t="s">
        <v>430</v>
      </c>
      <c r="C459" s="78" t="s">
        <v>19</v>
      </c>
      <c r="D459" s="4" t="s">
        <v>11</v>
      </c>
      <c r="E459" s="79">
        <v>2</v>
      </c>
      <c r="F459" s="11">
        <f>SUM(DistMeetingQuota[[#This Row],[Sep]:[Feb]])</f>
        <v>0</v>
      </c>
      <c r="G459" s="11">
        <f>DistMeetingQuota[[#This Row],[Quota]]-DistMeetingQuota[[#This Row],[Actual]]</f>
        <v>2</v>
      </c>
      <c r="H459" s="80">
        <f>DistMeetingQuota[[#This Row],[Actual]]/DistMeetingQuota[[#This Row],[Quota]]</f>
        <v>0</v>
      </c>
      <c r="I459" s="78"/>
      <c r="J459" s="6"/>
      <c r="K459" s="6"/>
      <c r="L459" s="6"/>
      <c r="M459" s="6"/>
      <c r="N459" s="6"/>
      <c r="O459" s="6"/>
      <c r="P459" s="78" t="s">
        <v>14</v>
      </c>
      <c r="Q459" s="6"/>
    </row>
    <row r="460" spans="1:17" s="109" customFormat="1" ht="30">
      <c r="A460" s="78">
        <v>2248779</v>
      </c>
      <c r="B460" s="92" t="s">
        <v>431</v>
      </c>
      <c r="C460" s="336" t="s">
        <v>21</v>
      </c>
      <c r="D460" s="4" t="s">
        <v>11</v>
      </c>
      <c r="E460" s="79">
        <v>3</v>
      </c>
      <c r="F460" s="11">
        <f>SUM(DistMeetingQuota[[#This Row],[Sep]:[Feb]])</f>
        <v>2</v>
      </c>
      <c r="G460" s="11">
        <f>DistMeetingQuota[[#This Row],[Quota]]-DistMeetingQuota[[#This Row],[Actual]]</f>
        <v>1</v>
      </c>
      <c r="H460" s="80">
        <f>DistMeetingQuota[[#This Row],[Actual]]/DistMeetingQuota[[#This Row],[Quota]]</f>
        <v>0.66666666666666663</v>
      </c>
      <c r="I460" s="78"/>
      <c r="J460" s="6">
        <v>2</v>
      </c>
      <c r="K460" s="6"/>
      <c r="L460" s="6"/>
      <c r="M460" s="6"/>
      <c r="N460" s="6"/>
      <c r="O460" s="6"/>
      <c r="P460" s="78" t="s">
        <v>10</v>
      </c>
      <c r="Q460" s="6"/>
    </row>
    <row r="461" spans="1:17" s="109" customFormat="1" ht="30">
      <c r="A461" s="78">
        <v>2248779</v>
      </c>
      <c r="B461" s="92" t="s">
        <v>431</v>
      </c>
      <c r="C461" s="336" t="s">
        <v>21</v>
      </c>
      <c r="D461" s="4" t="s">
        <v>13</v>
      </c>
      <c r="E461" s="79">
        <v>2</v>
      </c>
      <c r="F461" s="11">
        <f>SUM(DistMeetingQuota[[#This Row],[Sep]:[Feb]])</f>
        <v>2</v>
      </c>
      <c r="G461" s="11">
        <f>DistMeetingQuota[[#This Row],[Quota]]-DistMeetingQuota[[#This Row],[Actual]]</f>
        <v>0</v>
      </c>
      <c r="H461" s="80">
        <f>DistMeetingQuota[[#This Row],[Actual]]/DistMeetingQuota[[#This Row],[Quota]]</f>
        <v>1</v>
      </c>
      <c r="I461" s="78"/>
      <c r="J461" s="6"/>
      <c r="K461" s="6">
        <v>2</v>
      </c>
      <c r="L461" s="6"/>
      <c r="M461" s="6"/>
      <c r="N461" s="6"/>
      <c r="O461" s="6"/>
      <c r="P461" s="78" t="s">
        <v>10</v>
      </c>
      <c r="Q461" s="6"/>
    </row>
    <row r="462" spans="1:17" s="109" customFormat="1">
      <c r="A462" s="78">
        <v>2092098</v>
      </c>
      <c r="B462" s="92" t="s">
        <v>432</v>
      </c>
      <c r="C462" s="78" t="s">
        <v>19</v>
      </c>
      <c r="D462" s="4" t="s">
        <v>11</v>
      </c>
      <c r="E462" s="79">
        <v>2</v>
      </c>
      <c r="F462" s="11">
        <f>SUM(DistMeetingQuota[[#This Row],[Sep]:[Feb]])</f>
        <v>2</v>
      </c>
      <c r="G462" s="11">
        <f>DistMeetingQuota[[#This Row],[Quota]]-DistMeetingQuota[[#This Row],[Actual]]</f>
        <v>0</v>
      </c>
      <c r="H462" s="80">
        <f>DistMeetingQuota[[#This Row],[Actual]]/DistMeetingQuota[[#This Row],[Quota]]</f>
        <v>1</v>
      </c>
      <c r="I462" s="78"/>
      <c r="J462" s="6"/>
      <c r="K462" s="6">
        <v>2</v>
      </c>
      <c r="L462" s="6"/>
      <c r="M462" s="6"/>
      <c r="N462" s="6"/>
      <c r="O462" s="6"/>
      <c r="P462" s="78" t="s">
        <v>14</v>
      </c>
      <c r="Q462" s="6"/>
    </row>
    <row r="463" spans="1:17" s="109" customFormat="1">
      <c r="A463" s="78">
        <v>2215332</v>
      </c>
      <c r="B463" s="92" t="s">
        <v>212</v>
      </c>
      <c r="C463" s="78" t="s">
        <v>19</v>
      </c>
      <c r="D463" s="4" t="s">
        <v>11</v>
      </c>
      <c r="E463" s="79">
        <v>2</v>
      </c>
      <c r="F463" s="11">
        <f>SUM(DistMeetingQuota[[#This Row],[Sep]:[Feb]])</f>
        <v>0</v>
      </c>
      <c r="G463" s="11">
        <f>DistMeetingQuota[[#This Row],[Quota]]-DistMeetingQuota[[#This Row],[Actual]]</f>
        <v>2</v>
      </c>
      <c r="H463" s="80">
        <f>DistMeetingQuota[[#This Row],[Actual]]/DistMeetingQuota[[#This Row],[Quota]]</f>
        <v>0</v>
      </c>
      <c r="I463" s="78"/>
      <c r="J463" s="6"/>
      <c r="K463" s="6"/>
      <c r="L463" s="6"/>
      <c r="M463" s="6"/>
      <c r="N463" s="6"/>
      <c r="O463" s="6"/>
      <c r="P463" s="78" t="s">
        <v>14</v>
      </c>
      <c r="Q463" s="6"/>
    </row>
    <row r="464" spans="1:17" s="109" customFormat="1">
      <c r="A464" s="78">
        <v>2205586</v>
      </c>
      <c r="B464" s="92" t="s">
        <v>433</v>
      </c>
      <c r="C464" s="78" t="s">
        <v>19</v>
      </c>
      <c r="D464" s="4" t="s">
        <v>11</v>
      </c>
      <c r="E464" s="79">
        <v>2</v>
      </c>
      <c r="F464" s="11">
        <f>SUM(DistMeetingQuota[[#This Row],[Sep]:[Feb]])</f>
        <v>0</v>
      </c>
      <c r="G464" s="11">
        <f>DistMeetingQuota[[#This Row],[Quota]]-DistMeetingQuota[[#This Row],[Actual]]</f>
        <v>2</v>
      </c>
      <c r="H464" s="80">
        <f>DistMeetingQuota[[#This Row],[Actual]]/DistMeetingQuota[[#This Row],[Quota]]</f>
        <v>0</v>
      </c>
      <c r="I464" s="78"/>
      <c r="J464" s="6"/>
      <c r="K464" s="6"/>
      <c r="L464" s="6"/>
      <c r="M464" s="6"/>
      <c r="N464" s="6"/>
      <c r="O464" s="6"/>
      <c r="P464" s="78" t="s">
        <v>14</v>
      </c>
      <c r="Q464" s="6"/>
    </row>
    <row r="465" spans="1:17" s="109" customFormat="1">
      <c r="A465" s="78">
        <v>2165803</v>
      </c>
      <c r="B465" s="92" t="s">
        <v>434</v>
      </c>
      <c r="C465" s="78" t="s">
        <v>19</v>
      </c>
      <c r="D465" s="4" t="s">
        <v>11</v>
      </c>
      <c r="E465" s="79">
        <v>2</v>
      </c>
      <c r="F465" s="11">
        <f>SUM(DistMeetingQuota[[#This Row],[Sep]:[Feb]])</f>
        <v>0</v>
      </c>
      <c r="G465" s="11">
        <f>DistMeetingQuota[[#This Row],[Quota]]-DistMeetingQuota[[#This Row],[Actual]]</f>
        <v>2</v>
      </c>
      <c r="H465" s="80">
        <f>DistMeetingQuota[[#This Row],[Actual]]/DistMeetingQuota[[#This Row],[Quota]]</f>
        <v>0</v>
      </c>
      <c r="I465" s="78"/>
      <c r="J465" s="6"/>
      <c r="K465" s="6"/>
      <c r="L465" s="6"/>
      <c r="M465" s="6"/>
      <c r="N465" s="6"/>
      <c r="O465" s="6"/>
      <c r="P465" s="78" t="s">
        <v>14</v>
      </c>
      <c r="Q465" s="6"/>
    </row>
    <row r="466" spans="1:17" s="109" customFormat="1" ht="30">
      <c r="A466" s="78">
        <v>2073212</v>
      </c>
      <c r="B466" s="92" t="s">
        <v>435</v>
      </c>
      <c r="C466" s="78" t="s">
        <v>19</v>
      </c>
      <c r="D466" s="4" t="s">
        <v>11</v>
      </c>
      <c r="E466" s="79">
        <v>2</v>
      </c>
      <c r="F466" s="11">
        <f>SUM(DistMeetingQuota[[#This Row],[Sep]:[Feb]])</f>
        <v>2</v>
      </c>
      <c r="G466" s="11">
        <f>DistMeetingQuota[[#This Row],[Quota]]-DistMeetingQuota[[#This Row],[Actual]]</f>
        <v>0</v>
      </c>
      <c r="H466" s="80">
        <f>DistMeetingQuota[[#This Row],[Actual]]/DistMeetingQuota[[#This Row],[Quota]]</f>
        <v>1</v>
      </c>
      <c r="I466" s="78">
        <v>2</v>
      </c>
      <c r="J466" s="6"/>
      <c r="K466" s="6"/>
      <c r="L466" s="6"/>
      <c r="M466" s="6"/>
      <c r="N466" s="6"/>
      <c r="O466" s="6"/>
      <c r="P466" s="78" t="s">
        <v>14</v>
      </c>
      <c r="Q466" s="6"/>
    </row>
    <row r="467" spans="1:17" s="109" customFormat="1" ht="30">
      <c r="A467" s="78">
        <v>2092645</v>
      </c>
      <c r="B467" s="92" t="s">
        <v>436</v>
      </c>
      <c r="C467" s="78" t="s">
        <v>19</v>
      </c>
      <c r="D467" s="4" t="s">
        <v>11</v>
      </c>
      <c r="E467" s="79">
        <v>2</v>
      </c>
      <c r="F467" s="11">
        <f>SUM(DistMeetingQuota[[#This Row],[Sep]:[Feb]])</f>
        <v>0</v>
      </c>
      <c r="G467" s="11">
        <f>DistMeetingQuota[[#This Row],[Quota]]-DistMeetingQuota[[#This Row],[Actual]]</f>
        <v>2</v>
      </c>
      <c r="H467" s="80">
        <f>DistMeetingQuota[[#This Row],[Actual]]/DistMeetingQuota[[#This Row],[Quota]]</f>
        <v>0</v>
      </c>
      <c r="I467" s="78"/>
      <c r="J467" s="6"/>
      <c r="K467" s="6"/>
      <c r="L467" s="6"/>
      <c r="M467" s="6"/>
      <c r="N467" s="6"/>
      <c r="O467" s="6"/>
      <c r="P467" s="78" t="s">
        <v>14</v>
      </c>
      <c r="Q467" s="6"/>
    </row>
    <row r="468" spans="1:17" s="109" customFormat="1" ht="30">
      <c r="A468" s="78">
        <v>2209883</v>
      </c>
      <c r="B468" s="92" t="s">
        <v>437</v>
      </c>
      <c r="C468" s="78" t="s">
        <v>21</v>
      </c>
      <c r="D468" s="4" t="s">
        <v>11</v>
      </c>
      <c r="E468" s="79">
        <v>3</v>
      </c>
      <c r="F468" s="11">
        <f>SUM(DistMeetingQuota[[#This Row],[Sep]:[Feb]])</f>
        <v>2</v>
      </c>
      <c r="G468" s="11">
        <f>DistMeetingQuota[[#This Row],[Quota]]-DistMeetingQuota[[#This Row],[Actual]]</f>
        <v>1</v>
      </c>
      <c r="H468" s="80">
        <f>DistMeetingQuota[[#This Row],[Actual]]/DistMeetingQuota[[#This Row],[Quota]]</f>
        <v>0.66666666666666663</v>
      </c>
      <c r="I468" s="78"/>
      <c r="J468" s="6"/>
      <c r="K468" s="6"/>
      <c r="L468" s="6">
        <v>1</v>
      </c>
      <c r="M468" s="6"/>
      <c r="N468" s="6">
        <v>1</v>
      </c>
      <c r="O468" s="78"/>
      <c r="P468" s="78" t="s">
        <v>67</v>
      </c>
      <c r="Q468" s="6"/>
    </row>
    <row r="469" spans="1:17" s="109" customFormat="1" ht="30">
      <c r="A469" s="78">
        <v>2209883</v>
      </c>
      <c r="B469" s="92" t="s">
        <v>437</v>
      </c>
      <c r="C469" s="78" t="s">
        <v>21</v>
      </c>
      <c r="D469" s="4" t="s">
        <v>13</v>
      </c>
      <c r="E469" s="79">
        <v>2</v>
      </c>
      <c r="F469" s="11">
        <f>SUM(DistMeetingQuota[[#This Row],[Sep]:[Feb]])</f>
        <v>0</v>
      </c>
      <c r="G469" s="11">
        <f>DistMeetingQuota[[#This Row],[Quota]]-DistMeetingQuota[[#This Row],[Actual]]</f>
        <v>2</v>
      </c>
      <c r="H469" s="80">
        <f>DistMeetingQuota[[#This Row],[Actual]]/DistMeetingQuota[[#This Row],[Quota]]</f>
        <v>0</v>
      </c>
      <c r="I469" s="78"/>
      <c r="J469" s="6"/>
      <c r="K469" s="6"/>
      <c r="L469" s="6"/>
      <c r="M469" s="6"/>
      <c r="N469" s="6"/>
      <c r="O469" s="6"/>
      <c r="P469" s="78" t="s">
        <v>67</v>
      </c>
      <c r="Q469" s="6"/>
    </row>
    <row r="470" spans="1:17" s="109" customFormat="1">
      <c r="A470" s="78">
        <v>2133702</v>
      </c>
      <c r="B470" s="92" t="s">
        <v>438</v>
      </c>
      <c r="C470" s="78" t="s">
        <v>19</v>
      </c>
      <c r="D470" s="4" t="s">
        <v>5</v>
      </c>
      <c r="E470" s="79">
        <v>24</v>
      </c>
      <c r="F470" s="11">
        <f>SUM(DistMeetingQuota[[#This Row],[Sep]:[Feb]])</f>
        <v>0</v>
      </c>
      <c r="G470" s="11">
        <f>DistMeetingQuota[[#This Row],[Quota]]-DistMeetingQuota[[#This Row],[Actual]]</f>
        <v>24</v>
      </c>
      <c r="H470" s="80">
        <f>DistMeetingQuota[[#This Row],[Actual]]/DistMeetingQuota[[#This Row],[Quota]]</f>
        <v>0</v>
      </c>
      <c r="I470" s="78"/>
      <c r="J470" s="6"/>
      <c r="K470" s="6"/>
      <c r="L470" s="6"/>
      <c r="M470" s="6"/>
      <c r="N470" s="6"/>
      <c r="O470" s="6"/>
      <c r="P470" s="78" t="s">
        <v>65</v>
      </c>
      <c r="Q470" s="6"/>
    </row>
    <row r="471" spans="1:17" s="109" customFormat="1">
      <c r="A471" s="78">
        <v>2133702</v>
      </c>
      <c r="B471" s="92" t="s">
        <v>438</v>
      </c>
      <c r="C471" s="78" t="s">
        <v>19</v>
      </c>
      <c r="D471" s="4" t="s">
        <v>11</v>
      </c>
      <c r="E471" s="79">
        <v>2</v>
      </c>
      <c r="F471" s="11">
        <f>SUM(DistMeetingQuota[[#This Row],[Sep]:[Feb]])</f>
        <v>0</v>
      </c>
      <c r="G471" s="11">
        <f>DistMeetingQuota[[#This Row],[Quota]]-DistMeetingQuota[[#This Row],[Actual]]</f>
        <v>2</v>
      </c>
      <c r="H471" s="80">
        <f>DistMeetingQuota[[#This Row],[Actual]]/DistMeetingQuota[[#This Row],[Quota]]</f>
        <v>0</v>
      </c>
      <c r="I471" s="78"/>
      <c r="J471" s="6"/>
      <c r="K471" s="6"/>
      <c r="L471" s="6"/>
      <c r="M471" s="6"/>
      <c r="N471" s="6"/>
      <c r="O471" s="6"/>
      <c r="P471" s="78" t="s">
        <v>65</v>
      </c>
      <c r="Q471" s="6"/>
    </row>
    <row r="472" spans="1:17" s="109" customFormat="1" ht="30">
      <c r="A472" s="78">
        <v>2148088</v>
      </c>
      <c r="B472" s="92" t="s">
        <v>439</v>
      </c>
      <c r="C472" s="78" t="s">
        <v>36</v>
      </c>
      <c r="D472" s="4" t="s">
        <v>11</v>
      </c>
      <c r="E472" s="79">
        <v>2</v>
      </c>
      <c r="F472" s="11">
        <f>SUM(DistMeetingQuota[[#This Row],[Sep]:[Feb]])</f>
        <v>0</v>
      </c>
      <c r="G472" s="11">
        <f>DistMeetingQuota[[#This Row],[Quota]]-DistMeetingQuota[[#This Row],[Actual]]</f>
        <v>2</v>
      </c>
      <c r="H472" s="80">
        <f>DistMeetingQuota[[#This Row],[Actual]]/DistMeetingQuota[[#This Row],[Quota]]</f>
        <v>0</v>
      </c>
      <c r="I472" s="78"/>
      <c r="J472" s="6"/>
      <c r="K472" s="6"/>
      <c r="L472" s="6"/>
      <c r="M472" s="6"/>
      <c r="N472" s="6"/>
      <c r="O472" s="6"/>
      <c r="P472" s="78" t="s">
        <v>57</v>
      </c>
      <c r="Q472" s="6"/>
    </row>
    <row r="473" spans="1:17" s="109" customFormat="1">
      <c r="A473" s="78">
        <v>2223422</v>
      </c>
      <c r="B473" s="92" t="s">
        <v>440</v>
      </c>
      <c r="C473" s="78" t="s">
        <v>19</v>
      </c>
      <c r="D473" s="4" t="s">
        <v>5</v>
      </c>
      <c r="E473" s="79">
        <v>24</v>
      </c>
      <c r="F473" s="11">
        <f>SUM(DistMeetingQuota[[#This Row],[Sep]:[Feb]])</f>
        <v>0</v>
      </c>
      <c r="G473" s="11">
        <f>DistMeetingQuota[[#This Row],[Quota]]-DistMeetingQuota[[#This Row],[Actual]]</f>
        <v>24</v>
      </c>
      <c r="H473" s="80">
        <f>DistMeetingQuota[[#This Row],[Actual]]/DistMeetingQuota[[#This Row],[Quota]]</f>
        <v>0</v>
      </c>
      <c r="I473" s="78"/>
      <c r="J473" s="6"/>
      <c r="K473" s="6"/>
      <c r="L473" s="6"/>
      <c r="M473" s="6"/>
      <c r="N473" s="6"/>
      <c r="O473" s="6"/>
      <c r="P473" s="78" t="s">
        <v>474</v>
      </c>
      <c r="Q473" s="6"/>
    </row>
    <row r="474" spans="1:17" s="109" customFormat="1">
      <c r="A474" s="78">
        <v>2223422</v>
      </c>
      <c r="B474" s="92" t="s">
        <v>440</v>
      </c>
      <c r="C474" s="78" t="s">
        <v>19</v>
      </c>
      <c r="D474" s="4" t="s">
        <v>11</v>
      </c>
      <c r="E474" s="79">
        <v>2</v>
      </c>
      <c r="F474" s="11">
        <f>SUM(DistMeetingQuota[[#This Row],[Sep]:[Feb]])</f>
        <v>0</v>
      </c>
      <c r="G474" s="11">
        <f>DistMeetingQuota[[#This Row],[Quota]]-DistMeetingQuota[[#This Row],[Actual]]</f>
        <v>2</v>
      </c>
      <c r="H474" s="80">
        <f>DistMeetingQuota[[#This Row],[Actual]]/DistMeetingQuota[[#This Row],[Quota]]</f>
        <v>0</v>
      </c>
      <c r="I474" s="78"/>
      <c r="J474" s="6"/>
      <c r="K474" s="6"/>
      <c r="L474" s="6"/>
      <c r="M474" s="6"/>
      <c r="N474" s="6"/>
      <c r="O474" s="6"/>
      <c r="P474" s="78" t="s">
        <v>474</v>
      </c>
      <c r="Q474" s="6"/>
    </row>
    <row r="475" spans="1:17" s="109" customFormat="1" ht="30">
      <c r="A475" s="78">
        <v>2113830</v>
      </c>
      <c r="B475" s="92" t="s">
        <v>441</v>
      </c>
      <c r="C475" s="78" t="s">
        <v>19</v>
      </c>
      <c r="D475" s="4" t="s">
        <v>5</v>
      </c>
      <c r="E475" s="79">
        <v>24</v>
      </c>
      <c r="F475" s="11">
        <f>SUM(DistMeetingQuota[[#This Row],[Sep]:[Feb]])</f>
        <v>0</v>
      </c>
      <c r="G475" s="11">
        <f>DistMeetingQuota[[#This Row],[Quota]]-DistMeetingQuota[[#This Row],[Actual]]</f>
        <v>24</v>
      </c>
      <c r="H475" s="80">
        <f>DistMeetingQuota[[#This Row],[Actual]]/DistMeetingQuota[[#This Row],[Quota]]</f>
        <v>0</v>
      </c>
      <c r="I475" s="78"/>
      <c r="J475" s="6"/>
      <c r="K475" s="6"/>
      <c r="L475" s="6"/>
      <c r="M475" s="6"/>
      <c r="N475" s="6"/>
      <c r="O475" s="6"/>
      <c r="P475" s="78" t="s">
        <v>496</v>
      </c>
      <c r="Q475" s="6"/>
    </row>
    <row r="476" spans="1:17" s="109" customFormat="1" ht="30">
      <c r="A476" s="78">
        <v>2113830</v>
      </c>
      <c r="B476" s="92" t="s">
        <v>441</v>
      </c>
      <c r="C476" s="78" t="s">
        <v>19</v>
      </c>
      <c r="D476" s="4" t="s">
        <v>11</v>
      </c>
      <c r="E476" s="79">
        <v>2</v>
      </c>
      <c r="F476" s="11">
        <f>SUM(DistMeetingQuota[[#This Row],[Sep]:[Feb]])</f>
        <v>0</v>
      </c>
      <c r="G476" s="11">
        <f>DistMeetingQuota[[#This Row],[Quota]]-DistMeetingQuota[[#This Row],[Actual]]</f>
        <v>2</v>
      </c>
      <c r="H476" s="80">
        <f>DistMeetingQuota[[#This Row],[Actual]]/DistMeetingQuota[[#This Row],[Quota]]</f>
        <v>0</v>
      </c>
      <c r="I476" s="78"/>
      <c r="J476" s="6"/>
      <c r="K476" s="6"/>
      <c r="L476" s="6"/>
      <c r="M476" s="6"/>
      <c r="N476" s="6"/>
      <c r="O476" s="6"/>
      <c r="P476" s="78" t="s">
        <v>496</v>
      </c>
      <c r="Q476" s="6"/>
    </row>
    <row r="477" spans="1:17" s="109" customFormat="1" ht="30">
      <c r="A477" s="78">
        <v>2214191</v>
      </c>
      <c r="B477" s="92" t="s">
        <v>442</v>
      </c>
      <c r="C477" s="78" t="s">
        <v>19</v>
      </c>
      <c r="D477" s="4" t="s">
        <v>5</v>
      </c>
      <c r="E477" s="79">
        <v>24</v>
      </c>
      <c r="F477" s="11">
        <f>SUM(DistMeetingQuota[[#This Row],[Sep]:[Feb]])</f>
        <v>4</v>
      </c>
      <c r="G477" s="11">
        <f>DistMeetingQuota[[#This Row],[Quota]]-DistMeetingQuota[[#This Row],[Actual]]</f>
        <v>20</v>
      </c>
      <c r="H477" s="80">
        <f>DistMeetingQuota[[#This Row],[Actual]]/DistMeetingQuota[[#This Row],[Quota]]</f>
        <v>0.16666666666666666</v>
      </c>
      <c r="I477" s="78"/>
      <c r="J477" s="6"/>
      <c r="K477" s="6">
        <v>4</v>
      </c>
      <c r="L477" s="6"/>
      <c r="M477" s="6"/>
      <c r="N477" s="6"/>
      <c r="O477" s="6"/>
      <c r="P477" s="78" t="s">
        <v>504</v>
      </c>
      <c r="Q477" s="6"/>
    </row>
    <row r="478" spans="1:17" s="109" customFormat="1" ht="30">
      <c r="A478" s="78">
        <v>2214191</v>
      </c>
      <c r="B478" s="92" t="s">
        <v>442</v>
      </c>
      <c r="C478" s="78" t="s">
        <v>19</v>
      </c>
      <c r="D478" s="4" t="s">
        <v>11</v>
      </c>
      <c r="E478" s="79">
        <v>2</v>
      </c>
      <c r="F478" s="11">
        <f>SUM(DistMeetingQuota[[#This Row],[Sep]:[Feb]])</f>
        <v>1</v>
      </c>
      <c r="G478" s="11">
        <f>DistMeetingQuota[[#This Row],[Quota]]-DistMeetingQuota[[#This Row],[Actual]]</f>
        <v>1</v>
      </c>
      <c r="H478" s="80">
        <f>DistMeetingQuota[[#This Row],[Actual]]/DistMeetingQuota[[#This Row],[Quota]]</f>
        <v>0.5</v>
      </c>
      <c r="I478" s="78"/>
      <c r="J478" s="6"/>
      <c r="K478" s="6"/>
      <c r="L478" s="6">
        <v>1</v>
      </c>
      <c r="M478" s="6"/>
      <c r="N478" s="6"/>
      <c r="O478" s="6"/>
      <c r="P478" s="78" t="s">
        <v>504</v>
      </c>
      <c r="Q478" s="6"/>
    </row>
    <row r="479" spans="1:17" s="109" customFormat="1" ht="30">
      <c r="A479" s="78">
        <v>2154577</v>
      </c>
      <c r="B479" s="92" t="s">
        <v>443</v>
      </c>
      <c r="C479" s="78" t="s">
        <v>19</v>
      </c>
      <c r="D479" s="4" t="s">
        <v>5</v>
      </c>
      <c r="E479" s="79">
        <v>24</v>
      </c>
      <c r="F479" s="11">
        <f>SUM(DistMeetingQuota[[#This Row],[Sep]:[Feb]])</f>
        <v>0</v>
      </c>
      <c r="G479" s="11">
        <f>DistMeetingQuota[[#This Row],[Quota]]-DistMeetingQuota[[#This Row],[Actual]]</f>
        <v>24</v>
      </c>
      <c r="H479" s="80">
        <f>DistMeetingQuota[[#This Row],[Actual]]/DistMeetingQuota[[#This Row],[Quota]]</f>
        <v>0</v>
      </c>
      <c r="I479" s="78"/>
      <c r="J479" s="6"/>
      <c r="K479" s="6"/>
      <c r="L479" s="6"/>
      <c r="M479" s="6"/>
      <c r="N479" s="6"/>
      <c r="O479" s="6"/>
      <c r="P479" s="78" t="s">
        <v>476</v>
      </c>
      <c r="Q479" s="6"/>
    </row>
    <row r="480" spans="1:17" s="109" customFormat="1" ht="45">
      <c r="A480" s="78">
        <v>2200682</v>
      </c>
      <c r="B480" s="92" t="s">
        <v>444</v>
      </c>
      <c r="C480" s="78" t="s">
        <v>19</v>
      </c>
      <c r="D480" s="4" t="s">
        <v>5</v>
      </c>
      <c r="E480" s="79">
        <v>24</v>
      </c>
      <c r="F480" s="11">
        <f>SUM(DistMeetingQuota[[#This Row],[Sep]:[Feb]])</f>
        <v>0</v>
      </c>
      <c r="G480" s="11">
        <f>DistMeetingQuota[[#This Row],[Quota]]-DistMeetingQuota[[#This Row],[Actual]]</f>
        <v>24</v>
      </c>
      <c r="H480" s="80">
        <f>DistMeetingQuota[[#This Row],[Actual]]/DistMeetingQuota[[#This Row],[Quota]]</f>
        <v>0</v>
      </c>
      <c r="I480" s="78"/>
      <c r="J480" s="6"/>
      <c r="K480" s="6"/>
      <c r="L480" s="6"/>
      <c r="M480" s="6"/>
      <c r="N480" s="6"/>
      <c r="O480" s="6"/>
      <c r="P480" s="78" t="s">
        <v>59</v>
      </c>
      <c r="Q480" s="6"/>
    </row>
    <row r="481" spans="1:17" s="109" customFormat="1" ht="45">
      <c r="A481" s="78">
        <v>2200682</v>
      </c>
      <c r="B481" s="92" t="s">
        <v>444</v>
      </c>
      <c r="C481" s="78" t="s">
        <v>19</v>
      </c>
      <c r="D481" s="4" t="s">
        <v>11</v>
      </c>
      <c r="E481" s="79">
        <v>2</v>
      </c>
      <c r="F481" s="11">
        <f>SUM(DistMeetingQuota[[#This Row],[Sep]:[Feb]])</f>
        <v>0</v>
      </c>
      <c r="G481" s="11">
        <f>DistMeetingQuota[[#This Row],[Quota]]-DistMeetingQuota[[#This Row],[Actual]]</f>
        <v>2</v>
      </c>
      <c r="H481" s="80">
        <f>DistMeetingQuota[[#This Row],[Actual]]/DistMeetingQuota[[#This Row],[Quota]]</f>
        <v>0</v>
      </c>
      <c r="I481" s="78"/>
      <c r="J481" s="6"/>
      <c r="K481" s="6"/>
      <c r="L481" s="6"/>
      <c r="M481" s="6"/>
      <c r="N481" s="6"/>
      <c r="O481" s="6"/>
      <c r="P481" s="78" t="s">
        <v>59</v>
      </c>
      <c r="Q481" s="6"/>
    </row>
    <row r="482" spans="1:17" s="109" customFormat="1" ht="30">
      <c r="A482" s="78">
        <v>2090632</v>
      </c>
      <c r="B482" s="92" t="s">
        <v>445</v>
      </c>
      <c r="C482" s="78" t="s">
        <v>19</v>
      </c>
      <c r="D482" s="4" t="s">
        <v>5</v>
      </c>
      <c r="E482" s="79">
        <v>24</v>
      </c>
      <c r="F482" s="11">
        <f>SUM(DistMeetingQuota[[#This Row],[Sep]:[Feb]])</f>
        <v>0</v>
      </c>
      <c r="G482" s="11">
        <f>DistMeetingQuota[[#This Row],[Quota]]-DistMeetingQuota[[#This Row],[Actual]]</f>
        <v>24</v>
      </c>
      <c r="H482" s="80">
        <f>DistMeetingQuota[[#This Row],[Actual]]/DistMeetingQuota[[#This Row],[Quota]]</f>
        <v>0</v>
      </c>
      <c r="I482" s="78"/>
      <c r="J482" s="6"/>
      <c r="K482" s="6"/>
      <c r="L482" s="6"/>
      <c r="M482" s="6"/>
      <c r="N482" s="6"/>
      <c r="O482" s="6"/>
      <c r="P482" s="78" t="s">
        <v>55</v>
      </c>
      <c r="Q482" s="6"/>
    </row>
    <row r="483" spans="1:17" s="109" customFormat="1" ht="30">
      <c r="A483" s="78">
        <v>2090632</v>
      </c>
      <c r="B483" s="92" t="s">
        <v>445</v>
      </c>
      <c r="C483" s="78" t="s">
        <v>19</v>
      </c>
      <c r="D483" s="4" t="s">
        <v>11</v>
      </c>
      <c r="E483" s="79">
        <v>2</v>
      </c>
      <c r="F483" s="11">
        <f>SUM(DistMeetingQuota[[#This Row],[Sep]:[Feb]])</f>
        <v>0</v>
      </c>
      <c r="G483" s="11">
        <f>DistMeetingQuota[[#This Row],[Quota]]-DistMeetingQuota[[#This Row],[Actual]]</f>
        <v>2</v>
      </c>
      <c r="H483" s="80">
        <f>DistMeetingQuota[[#This Row],[Actual]]/DistMeetingQuota[[#This Row],[Quota]]</f>
        <v>0</v>
      </c>
      <c r="I483" s="78"/>
      <c r="J483" s="6"/>
      <c r="K483" s="6"/>
      <c r="L483" s="6"/>
      <c r="M483" s="6"/>
      <c r="N483" s="6"/>
      <c r="O483" s="6"/>
      <c r="P483" s="78" t="s">
        <v>55</v>
      </c>
      <c r="Q483" s="6"/>
    </row>
    <row r="484" spans="1:17" s="109" customFormat="1" ht="30">
      <c r="A484" s="78">
        <v>2200071</v>
      </c>
      <c r="B484" s="92" t="s">
        <v>446</v>
      </c>
      <c r="C484" s="78" t="s">
        <v>19</v>
      </c>
      <c r="D484" s="4" t="s">
        <v>5</v>
      </c>
      <c r="E484" s="79">
        <v>24</v>
      </c>
      <c r="F484" s="11">
        <f>SUM(DistMeetingQuota[[#This Row],[Sep]:[Feb]])</f>
        <v>0</v>
      </c>
      <c r="G484" s="11">
        <f>DistMeetingQuota[[#This Row],[Quota]]-DistMeetingQuota[[#This Row],[Actual]]</f>
        <v>24</v>
      </c>
      <c r="H484" s="80">
        <f>DistMeetingQuota[[#This Row],[Actual]]/DistMeetingQuota[[#This Row],[Quota]]</f>
        <v>0</v>
      </c>
      <c r="I484" s="78"/>
      <c r="J484" s="6"/>
      <c r="K484" s="6"/>
      <c r="L484" s="6"/>
      <c r="M484" s="6"/>
      <c r="N484" s="6"/>
      <c r="O484" s="6"/>
      <c r="P484" s="78" t="s">
        <v>55</v>
      </c>
      <c r="Q484" s="6"/>
    </row>
    <row r="485" spans="1:17" s="109" customFormat="1" ht="30">
      <c r="A485" s="78">
        <v>2200071</v>
      </c>
      <c r="B485" s="92" t="s">
        <v>446</v>
      </c>
      <c r="C485" s="78" t="s">
        <v>19</v>
      </c>
      <c r="D485" s="4" t="s">
        <v>11</v>
      </c>
      <c r="E485" s="79">
        <v>2</v>
      </c>
      <c r="F485" s="11">
        <f>SUM(DistMeetingQuota[[#This Row],[Sep]:[Feb]])</f>
        <v>2</v>
      </c>
      <c r="G485" s="11">
        <f>DistMeetingQuota[[#This Row],[Quota]]-DistMeetingQuota[[#This Row],[Actual]]</f>
        <v>0</v>
      </c>
      <c r="H485" s="80">
        <f>DistMeetingQuota[[#This Row],[Actual]]/DistMeetingQuota[[#This Row],[Quota]]</f>
        <v>1</v>
      </c>
      <c r="I485" s="78"/>
      <c r="J485" s="6"/>
      <c r="K485" s="6"/>
      <c r="L485" s="6">
        <v>2</v>
      </c>
      <c r="M485" s="6"/>
      <c r="N485" s="6"/>
      <c r="O485" s="6"/>
      <c r="P485" s="78" t="s">
        <v>55</v>
      </c>
      <c r="Q485" s="6"/>
    </row>
    <row r="486" spans="1:17" s="109" customFormat="1" ht="30">
      <c r="A486" s="78">
        <v>2209888</v>
      </c>
      <c r="B486" s="92" t="s">
        <v>447</v>
      </c>
      <c r="C486" s="78" t="s">
        <v>19</v>
      </c>
      <c r="D486" s="4" t="s">
        <v>5</v>
      </c>
      <c r="E486" s="79">
        <v>24</v>
      </c>
      <c r="F486" s="11">
        <f>SUM(DistMeetingQuota[[#This Row],[Sep]:[Feb]])</f>
        <v>0</v>
      </c>
      <c r="G486" s="11">
        <f>DistMeetingQuota[[#This Row],[Quota]]-DistMeetingQuota[[#This Row],[Actual]]</f>
        <v>24</v>
      </c>
      <c r="H486" s="80">
        <f>DistMeetingQuota[[#This Row],[Actual]]/DistMeetingQuota[[#This Row],[Quota]]</f>
        <v>0</v>
      </c>
      <c r="I486" s="78"/>
      <c r="J486" s="6"/>
      <c r="K486" s="6"/>
      <c r="L486" s="6"/>
      <c r="M486" s="6"/>
      <c r="N486" s="6"/>
      <c r="O486" s="187"/>
      <c r="P486" s="78" t="s">
        <v>67</v>
      </c>
      <c r="Q486" s="6"/>
    </row>
    <row r="487" spans="1:17" s="109" customFormat="1" ht="30">
      <c r="A487" s="78">
        <v>2110448</v>
      </c>
      <c r="B487" s="92" t="s">
        <v>448</v>
      </c>
      <c r="C487" s="78" t="s">
        <v>19</v>
      </c>
      <c r="D487" s="4" t="s">
        <v>5</v>
      </c>
      <c r="E487" s="79">
        <v>24</v>
      </c>
      <c r="F487" s="11">
        <f>SUM(DistMeetingQuota[[#This Row],[Sep]:[Feb]])</f>
        <v>0</v>
      </c>
      <c r="G487" s="11">
        <f>DistMeetingQuota[[#This Row],[Quota]]-DistMeetingQuota[[#This Row],[Actual]]</f>
        <v>24</v>
      </c>
      <c r="H487" s="80">
        <f>DistMeetingQuota[[#This Row],[Actual]]/DistMeetingQuota[[#This Row],[Quota]]</f>
        <v>0</v>
      </c>
      <c r="I487" s="78"/>
      <c r="J487" s="6"/>
      <c r="K487" s="6"/>
      <c r="L487" s="6"/>
      <c r="M487" s="6"/>
      <c r="N487" s="6"/>
      <c r="O487" s="6"/>
      <c r="P487" s="78" t="s">
        <v>65</v>
      </c>
      <c r="Q487" s="6"/>
    </row>
    <row r="488" spans="1:17" s="109" customFormat="1" ht="30">
      <c r="A488" s="78">
        <v>2110448</v>
      </c>
      <c r="B488" s="92" t="s">
        <v>448</v>
      </c>
      <c r="C488" s="78" t="s">
        <v>19</v>
      </c>
      <c r="D488" s="4" t="s">
        <v>11</v>
      </c>
      <c r="E488" s="79">
        <v>2</v>
      </c>
      <c r="F488" s="11">
        <f>SUM(DistMeetingQuota[[#This Row],[Sep]:[Feb]])</f>
        <v>0</v>
      </c>
      <c r="G488" s="11">
        <f>DistMeetingQuota[[#This Row],[Quota]]-DistMeetingQuota[[#This Row],[Actual]]</f>
        <v>2</v>
      </c>
      <c r="H488" s="80">
        <f>DistMeetingQuota[[#This Row],[Actual]]/DistMeetingQuota[[#This Row],[Quota]]</f>
        <v>0</v>
      </c>
      <c r="I488" s="78"/>
      <c r="J488" s="6"/>
      <c r="K488" s="6"/>
      <c r="L488" s="6"/>
      <c r="M488" s="6"/>
      <c r="N488" s="6"/>
      <c r="O488" s="6"/>
      <c r="P488" s="78" t="s">
        <v>65</v>
      </c>
      <c r="Q488" s="6"/>
    </row>
    <row r="489" spans="1:17" s="109" customFormat="1" ht="30">
      <c r="A489" s="78">
        <v>2112189</v>
      </c>
      <c r="B489" s="92" t="s">
        <v>449</v>
      </c>
      <c r="C489" s="78" t="s">
        <v>19</v>
      </c>
      <c r="D489" s="4" t="s">
        <v>11</v>
      </c>
      <c r="E489" s="79">
        <v>2</v>
      </c>
      <c r="F489" s="11">
        <f>SUM(DistMeetingQuota[[#This Row],[Sep]:[Feb]])</f>
        <v>2</v>
      </c>
      <c r="G489" s="11">
        <f>DistMeetingQuota[[#This Row],[Quota]]-DistMeetingQuota[[#This Row],[Actual]]</f>
        <v>0</v>
      </c>
      <c r="H489" s="80">
        <f>DistMeetingQuota[[#This Row],[Actual]]/DistMeetingQuota[[#This Row],[Quota]]</f>
        <v>1</v>
      </c>
      <c r="I489" s="78"/>
      <c r="J489" s="6"/>
      <c r="K489" s="6">
        <v>2</v>
      </c>
      <c r="L489" s="6"/>
      <c r="M489" s="6"/>
      <c r="N489" s="6"/>
      <c r="O489" s="6"/>
      <c r="P489" s="78" t="s">
        <v>62</v>
      </c>
      <c r="Q489" s="6"/>
    </row>
    <row r="490" spans="1:17" s="109" customFormat="1" ht="30">
      <c r="A490" s="78">
        <v>2099113</v>
      </c>
      <c r="B490" s="92" t="s">
        <v>450</v>
      </c>
      <c r="C490" s="78" t="s">
        <v>19</v>
      </c>
      <c r="D490" s="4" t="s">
        <v>5</v>
      </c>
      <c r="E490" s="79">
        <v>24</v>
      </c>
      <c r="F490" s="11">
        <f>SUM(DistMeetingQuota[[#This Row],[Sep]:[Feb]])</f>
        <v>2</v>
      </c>
      <c r="G490" s="11">
        <f>DistMeetingQuota[[#This Row],[Quota]]-DistMeetingQuota[[#This Row],[Actual]]</f>
        <v>22</v>
      </c>
      <c r="H490" s="80">
        <f>DistMeetingQuota[[#This Row],[Actual]]/DistMeetingQuota[[#This Row],[Quota]]</f>
        <v>8.3333333333333329E-2</v>
      </c>
      <c r="I490" s="78"/>
      <c r="J490" s="6"/>
      <c r="K490" s="6"/>
      <c r="L490" s="6">
        <v>1</v>
      </c>
      <c r="M490" s="6">
        <v>1</v>
      </c>
      <c r="N490" s="6"/>
      <c r="O490" s="6"/>
      <c r="P490" s="78" t="s">
        <v>10</v>
      </c>
      <c r="Q490" s="6"/>
    </row>
    <row r="491" spans="1:17" s="109" customFormat="1" ht="30">
      <c r="A491" s="78">
        <v>2099113</v>
      </c>
      <c r="B491" s="92" t="s">
        <v>450</v>
      </c>
      <c r="C491" s="78" t="s">
        <v>19</v>
      </c>
      <c r="D491" s="4" t="s">
        <v>11</v>
      </c>
      <c r="E491" s="79">
        <v>2</v>
      </c>
      <c r="F491" s="11">
        <f>SUM(DistMeetingQuota[[#This Row],[Sep]:[Feb]])</f>
        <v>0</v>
      </c>
      <c r="G491" s="11">
        <f>DistMeetingQuota[[#This Row],[Quota]]-DistMeetingQuota[[#This Row],[Actual]]</f>
        <v>2</v>
      </c>
      <c r="H491" s="80">
        <f>DistMeetingQuota[[#This Row],[Actual]]/DistMeetingQuota[[#This Row],[Quota]]</f>
        <v>0</v>
      </c>
      <c r="I491" s="78"/>
      <c r="J491" s="6"/>
      <c r="K491" s="6"/>
      <c r="L491" s="6"/>
      <c r="M491" s="6"/>
      <c r="N491" s="6"/>
      <c r="O491" s="6"/>
      <c r="P491" s="78" t="s">
        <v>10</v>
      </c>
      <c r="Q491" s="6"/>
    </row>
    <row r="492" spans="1:17" s="109" customFormat="1">
      <c r="A492" s="78">
        <v>2077505</v>
      </c>
      <c r="B492" s="92" t="s">
        <v>451</v>
      </c>
      <c r="C492" s="78" t="s">
        <v>19</v>
      </c>
      <c r="D492" s="4" t="s">
        <v>11</v>
      </c>
      <c r="E492" s="79">
        <v>2</v>
      </c>
      <c r="F492" s="11">
        <f>SUM(DistMeetingQuota[[#This Row],[Sep]:[Feb]])</f>
        <v>0</v>
      </c>
      <c r="G492" s="11">
        <f>DistMeetingQuota[[#This Row],[Quota]]-DistMeetingQuota[[#This Row],[Actual]]</f>
        <v>2</v>
      </c>
      <c r="H492" s="80">
        <f>DistMeetingQuota[[#This Row],[Actual]]/DistMeetingQuota[[#This Row],[Quota]]</f>
        <v>0</v>
      </c>
      <c r="I492" s="78"/>
      <c r="J492" s="6"/>
      <c r="K492" s="6"/>
      <c r="L492" s="6"/>
      <c r="M492" s="6"/>
      <c r="N492" s="6"/>
      <c r="O492" s="6"/>
      <c r="P492" s="78" t="s">
        <v>62</v>
      </c>
      <c r="Q492" s="6"/>
    </row>
    <row r="493" spans="1:17" s="109" customFormat="1" ht="30">
      <c r="A493" s="78">
        <v>2026650</v>
      </c>
      <c r="B493" s="92" t="s">
        <v>452</v>
      </c>
      <c r="C493" s="78" t="s">
        <v>19</v>
      </c>
      <c r="D493" s="4" t="s">
        <v>11</v>
      </c>
      <c r="E493" s="79">
        <v>2</v>
      </c>
      <c r="F493" s="11">
        <f>SUM(DistMeetingQuota[[#This Row],[Sep]:[Feb]])</f>
        <v>0</v>
      </c>
      <c r="G493" s="11">
        <f>DistMeetingQuota[[#This Row],[Quota]]-DistMeetingQuota[[#This Row],[Actual]]</f>
        <v>2</v>
      </c>
      <c r="H493" s="80">
        <f>DistMeetingQuota[[#This Row],[Actual]]/DistMeetingQuota[[#This Row],[Quota]]</f>
        <v>0</v>
      </c>
      <c r="I493" s="78"/>
      <c r="J493" s="6"/>
      <c r="K493" s="6"/>
      <c r="L493" s="6"/>
      <c r="M493" s="6"/>
      <c r="N493" s="6"/>
      <c r="O493" s="6"/>
      <c r="P493" s="78" t="s">
        <v>14</v>
      </c>
      <c r="Q493" s="6"/>
    </row>
    <row r="494" spans="1:17" s="109" customFormat="1" ht="30">
      <c r="A494" s="78">
        <v>2034018</v>
      </c>
      <c r="B494" s="92" t="s">
        <v>453</v>
      </c>
      <c r="C494" s="78" t="s">
        <v>19</v>
      </c>
      <c r="D494" s="4" t="s">
        <v>11</v>
      </c>
      <c r="E494" s="79">
        <v>2</v>
      </c>
      <c r="F494" s="11">
        <f>SUM(DistMeetingQuota[[#This Row],[Sep]:[Feb]])</f>
        <v>2</v>
      </c>
      <c r="G494" s="11">
        <f>DistMeetingQuota[[#This Row],[Quota]]-DistMeetingQuota[[#This Row],[Actual]]</f>
        <v>0</v>
      </c>
      <c r="H494" s="80">
        <f>DistMeetingQuota[[#This Row],[Actual]]/DistMeetingQuota[[#This Row],[Quota]]</f>
        <v>1</v>
      </c>
      <c r="I494" s="78">
        <v>1</v>
      </c>
      <c r="J494" s="6"/>
      <c r="K494" s="6"/>
      <c r="L494" s="6">
        <v>1</v>
      </c>
      <c r="M494" s="6"/>
      <c r="N494" s="6"/>
      <c r="O494" s="6"/>
      <c r="P494" s="78" t="s">
        <v>14</v>
      </c>
      <c r="Q494" s="6"/>
    </row>
    <row r="495" spans="1:17" s="109" customFormat="1">
      <c r="A495" s="78">
        <v>2026651</v>
      </c>
      <c r="B495" s="92" t="s">
        <v>454</v>
      </c>
      <c r="C495" s="78" t="s">
        <v>19</v>
      </c>
      <c r="D495" s="4" t="s">
        <v>11</v>
      </c>
      <c r="E495" s="79">
        <v>2</v>
      </c>
      <c r="F495" s="11">
        <f>SUM(DistMeetingQuota[[#This Row],[Sep]:[Feb]])</f>
        <v>0</v>
      </c>
      <c r="G495" s="11">
        <f>DistMeetingQuota[[#This Row],[Quota]]-DistMeetingQuota[[#This Row],[Actual]]</f>
        <v>2</v>
      </c>
      <c r="H495" s="80">
        <f>DistMeetingQuota[[#This Row],[Actual]]/DistMeetingQuota[[#This Row],[Quota]]</f>
        <v>0</v>
      </c>
      <c r="I495" s="78"/>
      <c r="J495" s="6"/>
      <c r="K495" s="6"/>
      <c r="L495" s="6"/>
      <c r="M495" s="6"/>
      <c r="N495" s="6"/>
      <c r="O495" s="6"/>
      <c r="P495" s="78" t="s">
        <v>60</v>
      </c>
      <c r="Q495" s="6"/>
    </row>
    <row r="496" spans="1:17" s="109" customFormat="1">
      <c r="A496" s="78">
        <v>2026651</v>
      </c>
      <c r="B496" s="92" t="s">
        <v>454</v>
      </c>
      <c r="C496" s="78" t="s">
        <v>19</v>
      </c>
      <c r="D496" s="4" t="s">
        <v>11</v>
      </c>
      <c r="E496" s="79">
        <v>24</v>
      </c>
      <c r="F496" s="11">
        <f>SUM(DistMeetingQuota[[#This Row],[Sep]:[Feb]])</f>
        <v>0</v>
      </c>
      <c r="G496" s="11">
        <f>DistMeetingQuota[[#This Row],[Quota]]-DistMeetingQuota[[#This Row],[Actual]]</f>
        <v>24</v>
      </c>
      <c r="H496" s="80">
        <f>DistMeetingQuota[[#This Row],[Actual]]/DistMeetingQuota[[#This Row],[Quota]]</f>
        <v>0</v>
      </c>
      <c r="I496" s="78"/>
      <c r="J496" s="6"/>
      <c r="K496" s="6"/>
      <c r="L496" s="6"/>
      <c r="M496" s="6"/>
      <c r="N496" s="6"/>
      <c r="O496" s="6"/>
      <c r="P496" s="78" t="s">
        <v>60</v>
      </c>
      <c r="Q496" s="6"/>
    </row>
    <row r="497" spans="1:17" s="109" customFormat="1">
      <c r="A497" s="78">
        <v>2139899</v>
      </c>
      <c r="B497" s="92" t="s">
        <v>455</v>
      </c>
      <c r="C497" s="78" t="s">
        <v>19</v>
      </c>
      <c r="D497" s="4" t="s">
        <v>11</v>
      </c>
      <c r="E497" s="79">
        <v>2</v>
      </c>
      <c r="F497" s="11">
        <f>SUM(DistMeetingQuota[[#This Row],[Sep]:[Feb]])</f>
        <v>2</v>
      </c>
      <c r="G497" s="11">
        <f>DistMeetingQuota[[#This Row],[Quota]]-DistMeetingQuota[[#This Row],[Actual]]</f>
        <v>0</v>
      </c>
      <c r="H497" s="80">
        <f>DistMeetingQuota[[#This Row],[Actual]]/DistMeetingQuota[[#This Row],[Quota]]</f>
        <v>1</v>
      </c>
      <c r="I497" s="78"/>
      <c r="J497" s="6"/>
      <c r="K497" s="6"/>
      <c r="L497" s="6">
        <v>2</v>
      </c>
      <c r="M497" s="6"/>
      <c r="N497" s="6"/>
      <c r="O497" s="6"/>
      <c r="P497" s="78" t="s">
        <v>14</v>
      </c>
      <c r="Q497" s="6"/>
    </row>
    <row r="498" spans="1:17" s="109" customFormat="1" ht="30">
      <c r="A498" s="78">
        <v>2178851</v>
      </c>
      <c r="B498" s="92" t="s">
        <v>456</v>
      </c>
      <c r="C498" s="78" t="s">
        <v>19</v>
      </c>
      <c r="D498" s="4" t="s">
        <v>11</v>
      </c>
      <c r="E498" s="79">
        <v>2</v>
      </c>
      <c r="F498" s="11">
        <f>SUM(DistMeetingQuota[[#This Row],[Sep]:[Feb]])</f>
        <v>0</v>
      </c>
      <c r="G498" s="11">
        <f>DistMeetingQuota[[#This Row],[Quota]]-DistMeetingQuota[[#This Row],[Actual]]</f>
        <v>2</v>
      </c>
      <c r="H498" s="80">
        <f>DistMeetingQuota[[#This Row],[Actual]]/DistMeetingQuota[[#This Row],[Quota]]</f>
        <v>0</v>
      </c>
      <c r="I498" s="78"/>
      <c r="J498" s="6"/>
      <c r="K498" s="6"/>
      <c r="L498" s="6"/>
      <c r="M498" s="6"/>
      <c r="N498" s="6"/>
      <c r="O498" s="6"/>
      <c r="P498" s="78" t="s">
        <v>10</v>
      </c>
      <c r="Q498" s="6"/>
    </row>
    <row r="499" spans="1:17" s="109" customFormat="1" ht="30">
      <c r="A499" s="78">
        <v>2206819</v>
      </c>
      <c r="B499" s="92" t="s">
        <v>457</v>
      </c>
      <c r="C499" s="78" t="s">
        <v>19</v>
      </c>
      <c r="D499" s="4" t="s">
        <v>5</v>
      </c>
      <c r="E499" s="79">
        <v>24</v>
      </c>
      <c r="F499" s="11">
        <f>SUM(DistMeetingQuota[[#This Row],[Sep]:[Feb]])</f>
        <v>0</v>
      </c>
      <c r="G499" s="11">
        <f>DistMeetingQuota[[#This Row],[Quota]]-DistMeetingQuota[[#This Row],[Actual]]</f>
        <v>24</v>
      </c>
      <c r="H499" s="80">
        <f>DistMeetingQuota[[#This Row],[Actual]]/DistMeetingQuota[[#This Row],[Quota]]</f>
        <v>0</v>
      </c>
      <c r="I499" s="78"/>
      <c r="J499" s="6"/>
      <c r="K499" s="6"/>
      <c r="L499" s="6"/>
      <c r="M499" s="6"/>
      <c r="N499" s="6"/>
      <c r="O499" s="6"/>
      <c r="P499" s="78" t="s">
        <v>55</v>
      </c>
      <c r="Q499" s="6"/>
    </row>
    <row r="500" spans="1:17" s="109" customFormat="1" ht="30">
      <c r="A500" s="78">
        <v>2206819</v>
      </c>
      <c r="B500" s="92" t="s">
        <v>457</v>
      </c>
      <c r="C500" s="78" t="s">
        <v>19</v>
      </c>
      <c r="D500" s="4" t="s">
        <v>11</v>
      </c>
      <c r="E500" s="79">
        <v>2</v>
      </c>
      <c r="F500" s="11">
        <f>SUM(DistMeetingQuota[[#This Row],[Sep]:[Feb]])</f>
        <v>0</v>
      </c>
      <c r="G500" s="11">
        <f>DistMeetingQuota[[#This Row],[Quota]]-DistMeetingQuota[[#This Row],[Actual]]</f>
        <v>2</v>
      </c>
      <c r="H500" s="80">
        <f>DistMeetingQuota[[#This Row],[Actual]]/DistMeetingQuota[[#This Row],[Quota]]</f>
        <v>0</v>
      </c>
      <c r="I500" s="78"/>
      <c r="J500" s="6"/>
      <c r="K500" s="6"/>
      <c r="L500" s="6"/>
      <c r="M500" s="6"/>
      <c r="N500" s="6"/>
      <c r="O500" s="6"/>
      <c r="P500" s="78" t="s">
        <v>55</v>
      </c>
      <c r="Q500" s="6"/>
    </row>
    <row r="501" spans="1:17" s="109" customFormat="1" ht="30">
      <c r="A501" s="78">
        <v>2253907</v>
      </c>
      <c r="B501" s="92" t="s">
        <v>458</v>
      </c>
      <c r="C501" s="78" t="s">
        <v>19</v>
      </c>
      <c r="D501" s="4" t="s">
        <v>5</v>
      </c>
      <c r="E501" s="79">
        <v>24</v>
      </c>
      <c r="F501" s="11">
        <f>SUM(DistMeetingQuota[[#This Row],[Sep]:[Feb]])</f>
        <v>0</v>
      </c>
      <c r="G501" s="11">
        <f>DistMeetingQuota[[#This Row],[Quota]]-DistMeetingQuota[[#This Row],[Actual]]</f>
        <v>24</v>
      </c>
      <c r="H501" s="80">
        <f>DistMeetingQuota[[#This Row],[Actual]]/DistMeetingQuota[[#This Row],[Quota]]</f>
        <v>0</v>
      </c>
      <c r="I501" s="78"/>
      <c r="J501" s="6"/>
      <c r="K501" s="6"/>
      <c r="L501" s="6"/>
      <c r="M501" s="6"/>
      <c r="N501" s="6"/>
      <c r="O501" s="6"/>
      <c r="P501" s="78" t="s">
        <v>55</v>
      </c>
      <c r="Q501" s="6"/>
    </row>
    <row r="502" spans="1:17" s="109" customFormat="1" ht="30">
      <c r="A502" s="78">
        <v>2253907</v>
      </c>
      <c r="B502" s="92" t="s">
        <v>458</v>
      </c>
      <c r="C502" s="78" t="s">
        <v>19</v>
      </c>
      <c r="D502" s="4" t="s">
        <v>11</v>
      </c>
      <c r="E502" s="79">
        <v>2</v>
      </c>
      <c r="F502" s="11">
        <f>SUM(DistMeetingQuota[[#This Row],[Sep]:[Feb]])</f>
        <v>0</v>
      </c>
      <c r="G502" s="11">
        <f>DistMeetingQuota[[#This Row],[Quota]]-DistMeetingQuota[[#This Row],[Actual]]</f>
        <v>2</v>
      </c>
      <c r="H502" s="80">
        <f>DistMeetingQuota[[#This Row],[Actual]]/DistMeetingQuota[[#This Row],[Quota]]</f>
        <v>0</v>
      </c>
      <c r="I502" s="78"/>
      <c r="J502" s="6"/>
      <c r="K502" s="6"/>
      <c r="L502" s="6"/>
      <c r="M502" s="6"/>
      <c r="N502" s="6"/>
      <c r="O502" s="6"/>
      <c r="P502" s="78" t="s">
        <v>55</v>
      </c>
      <c r="Q502" s="6"/>
    </row>
    <row r="503" spans="1:17" s="109" customFormat="1">
      <c r="A503" s="78">
        <v>2125545</v>
      </c>
      <c r="B503" s="199" t="s">
        <v>459</v>
      </c>
      <c r="C503" s="78" t="s">
        <v>19</v>
      </c>
      <c r="D503" s="4" t="s">
        <v>5</v>
      </c>
      <c r="E503" s="79">
        <v>24</v>
      </c>
      <c r="F503" s="11">
        <f>SUM(DistMeetingQuota[[#This Row],[Sep]:[Feb]])</f>
        <v>19</v>
      </c>
      <c r="G503" s="11">
        <f>DistMeetingQuota[[#This Row],[Quota]]-DistMeetingQuota[[#This Row],[Actual]]</f>
        <v>5</v>
      </c>
      <c r="H503" s="80">
        <f>DistMeetingQuota[[#This Row],[Actual]]/DistMeetingQuota[[#This Row],[Quota]]</f>
        <v>0.79166666666666663</v>
      </c>
      <c r="I503" s="78">
        <v>4</v>
      </c>
      <c r="J503" s="6">
        <v>4</v>
      </c>
      <c r="K503" s="6">
        <v>4</v>
      </c>
      <c r="L503" s="6">
        <v>4</v>
      </c>
      <c r="M503" s="6">
        <v>3</v>
      </c>
      <c r="N503" s="6"/>
      <c r="O503" s="6"/>
      <c r="P503" s="78" t="s">
        <v>69</v>
      </c>
      <c r="Q503" s="6"/>
    </row>
    <row r="504" spans="1:17" s="109" customFormat="1">
      <c r="A504" s="78">
        <v>2125545</v>
      </c>
      <c r="B504" s="92" t="s">
        <v>459</v>
      </c>
      <c r="C504" s="78" t="s">
        <v>19</v>
      </c>
      <c r="D504" s="4" t="s">
        <v>11</v>
      </c>
      <c r="E504" s="79">
        <v>2</v>
      </c>
      <c r="F504" s="11">
        <f>SUM(DistMeetingQuota[[#This Row],[Sep]:[Feb]])</f>
        <v>0</v>
      </c>
      <c r="G504" s="11">
        <f>DistMeetingQuota[[#This Row],[Quota]]-DistMeetingQuota[[#This Row],[Actual]]</f>
        <v>2</v>
      </c>
      <c r="H504" s="80">
        <f>DistMeetingQuota[[#This Row],[Actual]]/DistMeetingQuota[[#This Row],[Quota]]</f>
        <v>0</v>
      </c>
      <c r="I504" s="78"/>
      <c r="J504" s="6"/>
      <c r="K504" s="6"/>
      <c r="L504" s="6"/>
      <c r="M504" s="6"/>
      <c r="N504" s="6"/>
      <c r="O504" s="6"/>
      <c r="P504" s="128" t="s">
        <v>69</v>
      </c>
      <c r="Q504" s="6"/>
    </row>
    <row r="505" spans="1:17" s="109" customFormat="1" ht="30">
      <c r="A505" s="78">
        <v>2148245</v>
      </c>
      <c r="B505" s="92" t="s">
        <v>460</v>
      </c>
      <c r="C505" s="78" t="s">
        <v>19</v>
      </c>
      <c r="D505" s="4" t="s">
        <v>5</v>
      </c>
      <c r="E505" s="79">
        <v>24</v>
      </c>
      <c r="F505" s="11">
        <f>SUM(DistMeetingQuota[[#This Row],[Sep]:[Feb]])</f>
        <v>20</v>
      </c>
      <c r="G505" s="11">
        <f>DistMeetingQuota[[#This Row],[Quota]]-DistMeetingQuota[[#This Row],[Actual]]</f>
        <v>4</v>
      </c>
      <c r="H505" s="80">
        <f>DistMeetingQuota[[#This Row],[Actual]]/DistMeetingQuota[[#This Row],[Quota]]</f>
        <v>0.83333333333333337</v>
      </c>
      <c r="I505" s="78">
        <v>4</v>
      </c>
      <c r="J505" s="6">
        <v>4</v>
      </c>
      <c r="K505" s="6">
        <v>4</v>
      </c>
      <c r="L505" s="6">
        <v>4</v>
      </c>
      <c r="M505" s="6">
        <v>4</v>
      </c>
      <c r="N505" s="6"/>
      <c r="O505" s="6"/>
      <c r="P505" s="78" t="s">
        <v>14</v>
      </c>
      <c r="Q505" s="6"/>
    </row>
    <row r="506" spans="1:17" s="109" customFormat="1" ht="30">
      <c r="A506" s="78">
        <v>2148245</v>
      </c>
      <c r="B506" s="92" t="s">
        <v>460</v>
      </c>
      <c r="C506" s="78" t="s">
        <v>19</v>
      </c>
      <c r="D506" s="4" t="s">
        <v>11</v>
      </c>
      <c r="E506" s="79">
        <v>2</v>
      </c>
      <c r="F506" s="11">
        <f>SUM(DistMeetingQuota[[#This Row],[Sep]:[Feb]])</f>
        <v>2</v>
      </c>
      <c r="G506" s="11">
        <f>DistMeetingQuota[[#This Row],[Quota]]-DistMeetingQuota[[#This Row],[Actual]]</f>
        <v>0</v>
      </c>
      <c r="H506" s="80">
        <f>DistMeetingQuota[[#This Row],[Actual]]/DistMeetingQuota[[#This Row],[Quota]]</f>
        <v>1</v>
      </c>
      <c r="I506" s="78">
        <v>1</v>
      </c>
      <c r="J506" s="6">
        <v>1</v>
      </c>
      <c r="K506" s="6"/>
      <c r="L506" s="6"/>
      <c r="M506" s="6"/>
      <c r="N506" s="6"/>
      <c r="O506" s="6"/>
      <c r="P506" s="78" t="s">
        <v>14</v>
      </c>
      <c r="Q506" s="6"/>
    </row>
    <row r="507" spans="1:17" s="109" customFormat="1" ht="30">
      <c r="A507" s="78">
        <v>2148247</v>
      </c>
      <c r="B507" s="92" t="s">
        <v>461</v>
      </c>
      <c r="C507" s="78" t="s">
        <v>19</v>
      </c>
      <c r="D507" s="4" t="s">
        <v>11</v>
      </c>
      <c r="E507" s="79">
        <v>2</v>
      </c>
      <c r="F507" s="11">
        <f>SUM(DistMeetingQuota[[#This Row],[Sep]:[Feb]])</f>
        <v>2</v>
      </c>
      <c r="G507" s="11">
        <f>DistMeetingQuota[[#This Row],[Quota]]-DistMeetingQuota[[#This Row],[Actual]]</f>
        <v>0</v>
      </c>
      <c r="H507" s="80">
        <f>DistMeetingQuota[[#This Row],[Actual]]/DistMeetingQuota[[#This Row],[Quota]]</f>
        <v>1</v>
      </c>
      <c r="I507" s="78"/>
      <c r="J507" s="6">
        <v>2</v>
      </c>
      <c r="K507" s="6"/>
      <c r="L507" s="6"/>
      <c r="M507" s="6"/>
      <c r="N507" s="6"/>
      <c r="O507" s="6"/>
      <c r="P507" s="78" t="s">
        <v>14</v>
      </c>
      <c r="Q507" s="6"/>
    </row>
    <row r="508" spans="1:17" s="109" customFormat="1">
      <c r="A508" s="78">
        <v>2320953</v>
      </c>
      <c r="B508" s="92" t="s">
        <v>462</v>
      </c>
      <c r="C508" s="78" t="s">
        <v>19</v>
      </c>
      <c r="D508" s="4" t="s">
        <v>11</v>
      </c>
      <c r="E508" s="79">
        <v>2</v>
      </c>
      <c r="F508" s="11">
        <f>SUM(DistMeetingQuota[[#This Row],[Sep]:[Feb]])</f>
        <v>0</v>
      </c>
      <c r="G508" s="11">
        <f>DistMeetingQuota[[#This Row],[Quota]]-DistMeetingQuota[[#This Row],[Actual]]</f>
        <v>2</v>
      </c>
      <c r="H508" s="80">
        <f>DistMeetingQuota[[#This Row],[Actual]]/DistMeetingQuota[[#This Row],[Quota]]</f>
        <v>0</v>
      </c>
      <c r="I508" s="78"/>
      <c r="J508" s="6"/>
      <c r="K508" s="6"/>
      <c r="L508" s="6"/>
      <c r="M508" s="6"/>
      <c r="N508" s="6"/>
      <c r="O508" s="6"/>
      <c r="P508" s="78" t="s">
        <v>14</v>
      </c>
      <c r="Q508" s="6"/>
    </row>
    <row r="509" spans="1:17" s="109" customFormat="1" ht="30">
      <c r="A509" s="78">
        <v>2134580</v>
      </c>
      <c r="B509" s="92" t="s">
        <v>463</v>
      </c>
      <c r="C509" s="78" t="s">
        <v>19</v>
      </c>
      <c r="D509" s="4" t="s">
        <v>11</v>
      </c>
      <c r="E509" s="79">
        <v>2</v>
      </c>
      <c r="F509" s="11">
        <f>SUM(DistMeetingQuota[[#This Row],[Sep]:[Feb]])</f>
        <v>0</v>
      </c>
      <c r="G509" s="11">
        <f>DistMeetingQuota[[#This Row],[Quota]]-DistMeetingQuota[[#This Row],[Actual]]</f>
        <v>2</v>
      </c>
      <c r="H509" s="80">
        <f>DistMeetingQuota[[#This Row],[Actual]]/DistMeetingQuota[[#This Row],[Quota]]</f>
        <v>0</v>
      </c>
      <c r="I509" s="78"/>
      <c r="J509" s="6"/>
      <c r="K509" s="6"/>
      <c r="L509" s="6"/>
      <c r="M509" s="6"/>
      <c r="N509" s="6"/>
      <c r="O509" s="6"/>
      <c r="P509" s="78" t="s">
        <v>57</v>
      </c>
      <c r="Q509" s="6"/>
    </row>
    <row r="510" spans="1:17" s="109" customFormat="1" ht="30">
      <c r="A510" s="78">
        <v>2209891</v>
      </c>
      <c r="B510" s="92" t="s">
        <v>464</v>
      </c>
      <c r="C510" s="78" t="s">
        <v>19</v>
      </c>
      <c r="D510" s="4" t="s">
        <v>5</v>
      </c>
      <c r="E510" s="79">
        <v>24</v>
      </c>
      <c r="F510" s="11">
        <f>SUM(DistMeetingQuota[[#This Row],[Sep]:[Feb]])</f>
        <v>23</v>
      </c>
      <c r="G510" s="11">
        <f>DistMeetingQuota[[#This Row],[Quota]]-DistMeetingQuota[[#This Row],[Actual]]</f>
        <v>1</v>
      </c>
      <c r="H510" s="80">
        <f>DistMeetingQuota[[#This Row],[Actual]]/DistMeetingQuota[[#This Row],[Quota]]</f>
        <v>0.95833333333333337</v>
      </c>
      <c r="I510" s="78">
        <v>4</v>
      </c>
      <c r="J510" s="6">
        <v>4</v>
      </c>
      <c r="K510" s="6">
        <v>4</v>
      </c>
      <c r="L510" s="6">
        <v>4</v>
      </c>
      <c r="M510" s="6">
        <v>4</v>
      </c>
      <c r="N510" s="6">
        <v>3</v>
      </c>
      <c r="O510" s="6"/>
      <c r="P510" s="78" t="s">
        <v>67</v>
      </c>
      <c r="Q510" s="6"/>
    </row>
    <row r="511" spans="1:17" s="109" customFormat="1" ht="30">
      <c r="A511" s="78">
        <v>2209891</v>
      </c>
      <c r="B511" s="92" t="s">
        <v>464</v>
      </c>
      <c r="C511" s="78" t="s">
        <v>19</v>
      </c>
      <c r="D511" s="4" t="s">
        <v>11</v>
      </c>
      <c r="E511" s="79">
        <v>2</v>
      </c>
      <c r="F511" s="11">
        <f>SUM(DistMeetingQuota[[#This Row],[Sep]:[Feb]])</f>
        <v>2</v>
      </c>
      <c r="G511" s="11">
        <f>DistMeetingQuota[[#This Row],[Quota]]-DistMeetingQuota[[#This Row],[Actual]]</f>
        <v>0</v>
      </c>
      <c r="H511" s="80">
        <f>DistMeetingQuota[[#This Row],[Actual]]/DistMeetingQuota[[#This Row],[Quota]]</f>
        <v>1</v>
      </c>
      <c r="I511" s="78"/>
      <c r="J511" s="6"/>
      <c r="K511" s="6"/>
      <c r="L511" s="6">
        <v>1</v>
      </c>
      <c r="M511" s="6">
        <v>1</v>
      </c>
      <c r="N511" s="6"/>
      <c r="O511" s="6"/>
      <c r="P511" s="78" t="s">
        <v>67</v>
      </c>
      <c r="Q511" s="6"/>
    </row>
    <row r="512" spans="1:17" s="109" customFormat="1" ht="30">
      <c r="A512" s="78">
        <v>2264751</v>
      </c>
      <c r="B512" s="92" t="s">
        <v>465</v>
      </c>
      <c r="C512" s="78" t="s">
        <v>19</v>
      </c>
      <c r="D512" s="4" t="s">
        <v>5</v>
      </c>
      <c r="E512" s="79">
        <v>24</v>
      </c>
      <c r="F512" s="11">
        <f>SUM(DistMeetingQuota[[#This Row],[Sep]:[Feb]])</f>
        <v>22</v>
      </c>
      <c r="G512" s="11">
        <f>DistMeetingQuota[[#This Row],[Quota]]-DistMeetingQuota[[#This Row],[Actual]]</f>
        <v>2</v>
      </c>
      <c r="H512" s="80">
        <f>DistMeetingQuota[[#This Row],[Actual]]/DistMeetingQuota[[#This Row],[Quota]]</f>
        <v>0.91666666666666663</v>
      </c>
      <c r="I512" s="78">
        <v>5</v>
      </c>
      <c r="J512" s="6">
        <v>4</v>
      </c>
      <c r="K512" s="6">
        <v>5</v>
      </c>
      <c r="L512" s="6">
        <v>4</v>
      </c>
      <c r="M512" s="6">
        <v>4</v>
      </c>
      <c r="N512" s="6"/>
      <c r="O512" s="6"/>
      <c r="P512" s="78" t="s">
        <v>67</v>
      </c>
      <c r="Q512" s="6"/>
    </row>
    <row r="513" spans="1:17" s="109" customFormat="1" ht="30">
      <c r="A513" s="78">
        <v>2264751</v>
      </c>
      <c r="B513" s="92" t="s">
        <v>465</v>
      </c>
      <c r="C513" s="78" t="s">
        <v>19</v>
      </c>
      <c r="D513" s="4" t="s">
        <v>11</v>
      </c>
      <c r="E513" s="79">
        <v>2</v>
      </c>
      <c r="F513" s="11">
        <f>SUM(DistMeetingQuota[[#This Row],[Sep]:[Feb]])</f>
        <v>2</v>
      </c>
      <c r="G513" s="11">
        <f>DistMeetingQuota[[#This Row],[Quota]]-DistMeetingQuota[[#This Row],[Actual]]</f>
        <v>0</v>
      </c>
      <c r="H513" s="80">
        <f>DistMeetingQuota[[#This Row],[Actual]]/DistMeetingQuota[[#This Row],[Quota]]</f>
        <v>1</v>
      </c>
      <c r="I513" s="78"/>
      <c r="J513" s="6"/>
      <c r="K513" s="6"/>
      <c r="L513" s="6">
        <v>1</v>
      </c>
      <c r="M513" s="6">
        <v>1</v>
      </c>
      <c r="N513" s="6"/>
      <c r="O513" s="6"/>
      <c r="P513" s="78" t="s">
        <v>67</v>
      </c>
      <c r="Q513" s="6"/>
    </row>
    <row r="514" spans="1:17" s="109" customFormat="1" ht="30">
      <c r="A514" s="78">
        <v>2162847</v>
      </c>
      <c r="B514" s="92" t="s">
        <v>466</v>
      </c>
      <c r="C514" s="78" t="s">
        <v>19</v>
      </c>
      <c r="D514" s="4" t="s">
        <v>11</v>
      </c>
      <c r="E514" s="79">
        <v>2</v>
      </c>
      <c r="F514" s="11">
        <f>SUM(DistMeetingQuota[[#This Row],[Sep]:[Feb]])</f>
        <v>0</v>
      </c>
      <c r="G514" s="11">
        <f>DistMeetingQuota[[#This Row],[Quota]]-DistMeetingQuota[[#This Row],[Actual]]</f>
        <v>2</v>
      </c>
      <c r="H514" s="80">
        <f>DistMeetingQuota[[#This Row],[Actual]]/DistMeetingQuota[[#This Row],[Quota]]</f>
        <v>0</v>
      </c>
      <c r="I514" s="78"/>
      <c r="J514" s="6"/>
      <c r="K514" s="6"/>
      <c r="L514" s="6"/>
      <c r="M514" s="6"/>
      <c r="N514" s="6"/>
      <c r="O514" s="6"/>
      <c r="P514" s="78" t="s">
        <v>14</v>
      </c>
      <c r="Q514" s="6"/>
    </row>
    <row r="515" spans="1:17" s="109" customFormat="1" ht="30">
      <c r="A515" s="78">
        <v>2153359</v>
      </c>
      <c r="B515" s="92" t="s">
        <v>467</v>
      </c>
      <c r="C515" s="78" t="s">
        <v>22</v>
      </c>
      <c r="D515" s="4" t="s">
        <v>13</v>
      </c>
      <c r="E515" s="79">
        <v>3</v>
      </c>
      <c r="F515" s="11">
        <f>SUM(DistMeetingQuota[[#This Row],[Sep]:[Feb]])</f>
        <v>3</v>
      </c>
      <c r="G515" s="11">
        <f>DistMeetingQuota[[#This Row],[Quota]]-DistMeetingQuota[[#This Row],[Actual]]</f>
        <v>0</v>
      </c>
      <c r="H515" s="80">
        <f>DistMeetingQuota[[#This Row],[Actual]]/DistMeetingQuota[[#This Row],[Quota]]</f>
        <v>1</v>
      </c>
      <c r="I515" s="78"/>
      <c r="J515" s="6"/>
      <c r="K515" s="6"/>
      <c r="L515" s="6"/>
      <c r="M515" s="6"/>
      <c r="N515" s="6">
        <v>3</v>
      </c>
      <c r="O515" s="6"/>
      <c r="P515" s="78" t="s">
        <v>14</v>
      </c>
      <c r="Q515" s="6"/>
    </row>
    <row r="516" spans="1:17" s="109" customFormat="1" ht="30">
      <c r="A516" s="78">
        <v>2153359</v>
      </c>
      <c r="B516" s="92" t="s">
        <v>467</v>
      </c>
      <c r="C516" s="78" t="s">
        <v>22</v>
      </c>
      <c r="D516" s="4" t="s">
        <v>487</v>
      </c>
      <c r="E516" s="79">
        <v>2</v>
      </c>
      <c r="F516" s="11">
        <f>SUM(DistMeetingQuota[[#This Row],[Sep]:[Feb]])</f>
        <v>2</v>
      </c>
      <c r="G516" s="11">
        <f>DistMeetingQuota[[#This Row],[Quota]]-DistMeetingQuota[[#This Row],[Actual]]</f>
        <v>0</v>
      </c>
      <c r="H516" s="80">
        <f>DistMeetingQuota[[#This Row],[Actual]]/DistMeetingQuota[[#This Row],[Quota]]</f>
        <v>1</v>
      </c>
      <c r="I516" s="78"/>
      <c r="J516" s="6">
        <v>2</v>
      </c>
      <c r="K516" s="6"/>
      <c r="L516" s="6"/>
      <c r="M516" s="6"/>
      <c r="N516" s="6"/>
      <c r="O516" s="6"/>
      <c r="P516" s="78" t="s">
        <v>14</v>
      </c>
      <c r="Q516" s="6"/>
    </row>
    <row r="517" spans="1:17" s="109" customFormat="1">
      <c r="A517" s="78">
        <v>2243568</v>
      </c>
      <c r="B517" s="92" t="s">
        <v>468</v>
      </c>
      <c r="C517" s="78" t="s">
        <v>19</v>
      </c>
      <c r="D517" s="4" t="s">
        <v>13</v>
      </c>
      <c r="E517" s="79">
        <v>2</v>
      </c>
      <c r="F517" s="11">
        <f>SUM(DistMeetingQuota[[#This Row],[Sep]:[Feb]])</f>
        <v>0</v>
      </c>
      <c r="G517" s="11">
        <f>DistMeetingQuota[[#This Row],[Quota]]-DistMeetingQuota[[#This Row],[Actual]]</f>
        <v>2</v>
      </c>
      <c r="H517" s="80">
        <f>DistMeetingQuota[[#This Row],[Actual]]/DistMeetingQuota[[#This Row],[Quota]]</f>
        <v>0</v>
      </c>
      <c r="I517" s="78"/>
      <c r="J517" s="6"/>
      <c r="K517" s="6"/>
      <c r="L517" s="6"/>
      <c r="M517" s="6"/>
      <c r="N517" s="6"/>
      <c r="O517" s="6"/>
      <c r="P517" s="78" t="s">
        <v>14</v>
      </c>
      <c r="Q517" s="6"/>
    </row>
    <row r="518" spans="1:17" s="109" customFormat="1" ht="30">
      <c r="A518" s="78">
        <v>2152653</v>
      </c>
      <c r="B518" s="92" t="s">
        <v>469</v>
      </c>
      <c r="C518" s="78" t="s">
        <v>19</v>
      </c>
      <c r="D518" s="4" t="s">
        <v>487</v>
      </c>
      <c r="E518" s="79">
        <v>2</v>
      </c>
      <c r="F518" s="11">
        <f>SUM(DistMeetingQuota[[#This Row],[Sep]:[Feb]])</f>
        <v>0</v>
      </c>
      <c r="G518" s="11">
        <f>DistMeetingQuota[[#This Row],[Quota]]-DistMeetingQuota[[#This Row],[Actual]]</f>
        <v>2</v>
      </c>
      <c r="H518" s="80">
        <f>DistMeetingQuota[[#This Row],[Actual]]/DistMeetingQuota[[#This Row],[Quota]]</f>
        <v>0</v>
      </c>
      <c r="I518" s="78"/>
      <c r="J518" s="6"/>
      <c r="K518" s="6"/>
      <c r="L518" s="6"/>
      <c r="M518" s="6"/>
      <c r="N518" s="6"/>
      <c r="O518" s="6"/>
      <c r="P518" s="78" t="s">
        <v>14</v>
      </c>
      <c r="Q518" s="6"/>
    </row>
    <row r="519" spans="1:17" s="109" customFormat="1" ht="30">
      <c r="A519" s="78">
        <v>2110443</v>
      </c>
      <c r="B519" s="92" t="s">
        <v>506</v>
      </c>
      <c r="C519" s="78" t="s">
        <v>19</v>
      </c>
      <c r="D519" s="4" t="s">
        <v>11</v>
      </c>
      <c r="E519" s="79">
        <v>2</v>
      </c>
      <c r="F519" s="11">
        <f>SUM(DistMeetingQuota[[#This Row],[Sep]:[Feb]])</f>
        <v>2</v>
      </c>
      <c r="G519" s="11">
        <f>DistMeetingQuota[[#This Row],[Quota]]-DistMeetingQuota[[#This Row],[Actual]]</f>
        <v>0</v>
      </c>
      <c r="H519" s="80">
        <f>DistMeetingQuota[[#This Row],[Actual]]/DistMeetingQuota[[#This Row],[Quota]]</f>
        <v>1</v>
      </c>
      <c r="I519" s="78">
        <v>1</v>
      </c>
      <c r="J519" s="6"/>
      <c r="K519" s="6"/>
      <c r="L519" s="6">
        <v>1</v>
      </c>
      <c r="M519" s="6"/>
      <c r="N519" s="6"/>
      <c r="O519" s="6"/>
      <c r="P519" s="129" t="s">
        <v>10</v>
      </c>
      <c r="Q519" s="6"/>
    </row>
    <row r="520" spans="1:17" s="109" customFormat="1" ht="30">
      <c r="A520" s="78">
        <v>2188710</v>
      </c>
      <c r="B520" s="92" t="s">
        <v>508</v>
      </c>
      <c r="C520" s="78" t="s">
        <v>19</v>
      </c>
      <c r="D520" s="4" t="s">
        <v>11</v>
      </c>
      <c r="E520" s="79">
        <v>2</v>
      </c>
      <c r="F520" s="11">
        <f>SUM(DistMeetingQuota[[#This Row],[Sep]:[Feb]])</f>
        <v>0</v>
      </c>
      <c r="G520" s="11">
        <f>DistMeetingQuota[[#This Row],[Quota]]-DistMeetingQuota[[#This Row],[Actual]]</f>
        <v>2</v>
      </c>
      <c r="H520" s="80">
        <f>DistMeetingQuota[[#This Row],[Actual]]/DistMeetingQuota[[#This Row],[Quota]]</f>
        <v>0</v>
      </c>
      <c r="I520" s="78"/>
      <c r="J520" s="6"/>
      <c r="K520" s="6"/>
      <c r="L520" s="6"/>
      <c r="M520" s="6"/>
      <c r="N520" s="6"/>
      <c r="O520" s="6"/>
      <c r="P520" s="78" t="s">
        <v>14</v>
      </c>
      <c r="Q520" s="6"/>
    </row>
    <row r="521" spans="1:17" s="109" customFormat="1" ht="30">
      <c r="A521" s="78">
        <v>2220390</v>
      </c>
      <c r="B521" s="92" t="s">
        <v>509</v>
      </c>
      <c r="C521" s="78" t="s">
        <v>19</v>
      </c>
      <c r="D521" s="4" t="s">
        <v>5</v>
      </c>
      <c r="E521" s="79">
        <v>24</v>
      </c>
      <c r="F521" s="11">
        <f>SUM(DistMeetingQuota[[#This Row],[Sep]:[Feb]])</f>
        <v>0</v>
      </c>
      <c r="G521" s="11">
        <f>DistMeetingQuota[[#This Row],[Quota]]-DistMeetingQuota[[#This Row],[Actual]]</f>
        <v>24</v>
      </c>
      <c r="H521" s="80">
        <f>DistMeetingQuota[[#This Row],[Actual]]/DistMeetingQuota[[#This Row],[Quota]]</f>
        <v>0</v>
      </c>
      <c r="I521" s="78"/>
      <c r="J521" s="6"/>
      <c r="K521" s="6"/>
      <c r="L521" s="6"/>
      <c r="M521" s="6"/>
      <c r="N521" s="6"/>
      <c r="O521" s="6"/>
      <c r="P521" s="129" t="s">
        <v>67</v>
      </c>
      <c r="Q521" s="6"/>
    </row>
    <row r="522" spans="1:17" s="109" customFormat="1" ht="30">
      <c r="A522" s="78">
        <v>2220390</v>
      </c>
      <c r="B522" s="92" t="s">
        <v>509</v>
      </c>
      <c r="C522" s="78" t="s">
        <v>19</v>
      </c>
      <c r="D522" s="4" t="s">
        <v>11</v>
      </c>
      <c r="E522" s="79">
        <v>2</v>
      </c>
      <c r="F522" s="11">
        <f>SUM(DistMeetingQuota[[#This Row],[Sep]:[Feb]])</f>
        <v>1</v>
      </c>
      <c r="G522" s="11">
        <f>DistMeetingQuota[[#This Row],[Quota]]-DistMeetingQuota[[#This Row],[Actual]]</f>
        <v>1</v>
      </c>
      <c r="H522" s="80">
        <f>DistMeetingQuota[[#This Row],[Actual]]/DistMeetingQuota[[#This Row],[Quota]]</f>
        <v>0.5</v>
      </c>
      <c r="I522" s="78"/>
      <c r="J522" s="6"/>
      <c r="K522" s="6"/>
      <c r="L522" s="6">
        <v>1</v>
      </c>
      <c r="M522" s="6"/>
      <c r="N522" s="6"/>
      <c r="O522" s="6"/>
      <c r="P522" s="129" t="s">
        <v>67</v>
      </c>
      <c r="Q522" s="6"/>
    </row>
    <row r="523" spans="1:17" s="109" customFormat="1">
      <c r="A523" s="78">
        <v>2075319</v>
      </c>
      <c r="B523" s="92" t="s">
        <v>510</v>
      </c>
      <c r="C523" s="78" t="s">
        <v>19</v>
      </c>
      <c r="D523" s="4" t="s">
        <v>5</v>
      </c>
      <c r="E523" s="79">
        <v>24</v>
      </c>
      <c r="F523" s="11">
        <f>SUM(DistMeetingQuota[[#This Row],[Sep]:[Feb]])</f>
        <v>6</v>
      </c>
      <c r="G523" s="11">
        <f>DistMeetingQuota[[#This Row],[Quota]]-DistMeetingQuota[[#This Row],[Actual]]</f>
        <v>18</v>
      </c>
      <c r="H523" s="80">
        <f>DistMeetingQuota[[#This Row],[Actual]]/DistMeetingQuota[[#This Row],[Quota]]</f>
        <v>0.25</v>
      </c>
      <c r="I523" s="78"/>
      <c r="J523" s="6">
        <v>1</v>
      </c>
      <c r="K523" s="6"/>
      <c r="L523" s="6">
        <v>1</v>
      </c>
      <c r="M523" s="6">
        <v>2</v>
      </c>
      <c r="N523" s="6">
        <v>2</v>
      </c>
      <c r="O523" s="6"/>
      <c r="P523" s="129" t="s">
        <v>10</v>
      </c>
      <c r="Q523" s="6"/>
    </row>
    <row r="524" spans="1:17" s="109" customFormat="1">
      <c r="A524" s="78">
        <v>2075319</v>
      </c>
      <c r="B524" s="92" t="s">
        <v>510</v>
      </c>
      <c r="C524" s="78" t="s">
        <v>19</v>
      </c>
      <c r="D524" s="4" t="s">
        <v>11</v>
      </c>
      <c r="E524" s="79">
        <v>2</v>
      </c>
      <c r="F524" s="11">
        <f>SUM(DistMeetingQuota[[#This Row],[Sep]:[Feb]])</f>
        <v>1</v>
      </c>
      <c r="G524" s="11">
        <f>DistMeetingQuota[[#This Row],[Quota]]-DistMeetingQuota[[#This Row],[Actual]]</f>
        <v>1</v>
      </c>
      <c r="H524" s="80">
        <f>DistMeetingQuota[[#This Row],[Actual]]/DistMeetingQuota[[#This Row],[Quota]]</f>
        <v>0.5</v>
      </c>
      <c r="I524" s="78"/>
      <c r="J524" s="6"/>
      <c r="K524" s="6"/>
      <c r="L524" s="6">
        <v>1</v>
      </c>
      <c r="M524" s="6"/>
      <c r="N524" s="6"/>
      <c r="O524" s="6"/>
      <c r="P524" s="129" t="s">
        <v>10</v>
      </c>
      <c r="Q524" s="6"/>
    </row>
    <row r="525" spans="1:17" s="109" customFormat="1">
      <c r="A525" s="78">
        <v>2009074</v>
      </c>
      <c r="B525" s="92" t="s">
        <v>511</v>
      </c>
      <c r="C525" s="78" t="s">
        <v>19</v>
      </c>
      <c r="D525" s="4" t="s">
        <v>11</v>
      </c>
      <c r="E525" s="79">
        <v>2</v>
      </c>
      <c r="F525" s="11">
        <f>SUM(DistMeetingQuota[[#This Row],[Sep]:[Feb]])</f>
        <v>0</v>
      </c>
      <c r="G525" s="11">
        <f>DistMeetingQuota[[#This Row],[Quota]]-DistMeetingQuota[[#This Row],[Actual]]</f>
        <v>2</v>
      </c>
      <c r="H525" s="80">
        <f>DistMeetingQuota[[#This Row],[Actual]]/DistMeetingQuota[[#This Row],[Quota]]</f>
        <v>0</v>
      </c>
      <c r="I525" s="78"/>
      <c r="J525" s="6"/>
      <c r="K525" s="6"/>
      <c r="L525" s="6"/>
      <c r="M525" s="6"/>
      <c r="N525" s="6"/>
      <c r="O525" s="6"/>
      <c r="P525" s="129" t="s">
        <v>10</v>
      </c>
      <c r="Q525" s="6"/>
    </row>
    <row r="526" spans="1:17" s="109" customFormat="1" ht="30">
      <c r="A526" s="78">
        <v>2114483</v>
      </c>
      <c r="B526" s="92" t="s">
        <v>512</v>
      </c>
      <c r="C526" s="78" t="s">
        <v>19</v>
      </c>
      <c r="D526" s="4" t="s">
        <v>5</v>
      </c>
      <c r="E526" s="79">
        <v>24</v>
      </c>
      <c r="F526" s="11">
        <f>SUM(DistMeetingQuota[[#This Row],[Sep]:[Feb]])</f>
        <v>0</v>
      </c>
      <c r="G526" s="11">
        <f>DistMeetingQuota[[#This Row],[Quota]]-DistMeetingQuota[[#This Row],[Actual]]</f>
        <v>24</v>
      </c>
      <c r="H526" s="80">
        <f>DistMeetingQuota[[#This Row],[Actual]]/DistMeetingQuota[[#This Row],[Quota]]</f>
        <v>0</v>
      </c>
      <c r="I526" s="78"/>
      <c r="J526" s="6"/>
      <c r="K526" s="6"/>
      <c r="L526" s="6"/>
      <c r="M526" s="6"/>
      <c r="N526" s="6"/>
      <c r="O526" s="6"/>
      <c r="P526" s="129" t="s">
        <v>475</v>
      </c>
      <c r="Q526" s="6"/>
    </row>
    <row r="527" spans="1:17" s="109" customFormat="1" ht="30">
      <c r="A527" s="78">
        <v>2114483</v>
      </c>
      <c r="B527" s="92" t="s">
        <v>512</v>
      </c>
      <c r="C527" s="78" t="s">
        <v>19</v>
      </c>
      <c r="D527" s="4" t="s">
        <v>11</v>
      </c>
      <c r="E527" s="79">
        <v>2</v>
      </c>
      <c r="F527" s="11">
        <f>SUM(DistMeetingQuota[[#This Row],[Sep]:[Feb]])</f>
        <v>2</v>
      </c>
      <c r="G527" s="11">
        <f>DistMeetingQuota[[#This Row],[Quota]]-DistMeetingQuota[[#This Row],[Actual]]</f>
        <v>0</v>
      </c>
      <c r="H527" s="80">
        <f>DistMeetingQuota[[#This Row],[Actual]]/DistMeetingQuota[[#This Row],[Quota]]</f>
        <v>1</v>
      </c>
      <c r="I527" s="78"/>
      <c r="J527" s="6">
        <v>1</v>
      </c>
      <c r="K527" s="6">
        <v>1</v>
      </c>
      <c r="L527" s="6"/>
      <c r="M527" s="6"/>
      <c r="N527" s="6"/>
      <c r="O527" s="6"/>
      <c r="P527" s="120" t="s">
        <v>475</v>
      </c>
      <c r="Q527" s="6"/>
    </row>
    <row r="528" spans="1:17" s="109" customFormat="1" ht="30">
      <c r="A528" s="78">
        <v>2095404</v>
      </c>
      <c r="B528" s="92" t="s">
        <v>513</v>
      </c>
      <c r="C528" s="78" t="s">
        <v>19</v>
      </c>
      <c r="D528" s="4" t="s">
        <v>5</v>
      </c>
      <c r="E528" s="79">
        <v>24</v>
      </c>
      <c r="F528" s="11">
        <f>SUM(DistMeetingQuota[[#This Row],[Sep]:[Feb]])</f>
        <v>0</v>
      </c>
      <c r="G528" s="11">
        <f>DistMeetingQuota[[#This Row],[Quota]]-DistMeetingQuota[[#This Row],[Actual]]</f>
        <v>24</v>
      </c>
      <c r="H528" s="80">
        <f>DistMeetingQuota[[#This Row],[Actual]]/DistMeetingQuota[[#This Row],[Quota]]</f>
        <v>0</v>
      </c>
      <c r="I528" s="78"/>
      <c r="J528" s="6"/>
      <c r="K528" s="6"/>
      <c r="L528" s="6"/>
      <c r="M528" s="6"/>
      <c r="N528" s="6"/>
      <c r="O528" s="6"/>
      <c r="P528" s="120" t="s">
        <v>472</v>
      </c>
      <c r="Q528" s="6"/>
    </row>
    <row r="529" spans="1:17" s="109" customFormat="1" ht="30">
      <c r="A529" s="78">
        <v>2095404</v>
      </c>
      <c r="B529" s="92" t="s">
        <v>513</v>
      </c>
      <c r="C529" s="78" t="s">
        <v>19</v>
      </c>
      <c r="D529" s="4" t="s">
        <v>11</v>
      </c>
      <c r="E529" s="79">
        <v>2</v>
      </c>
      <c r="F529" s="11">
        <f>SUM(DistMeetingQuota[[#This Row],[Sep]:[Feb]])</f>
        <v>0</v>
      </c>
      <c r="G529" s="11">
        <f>DistMeetingQuota[[#This Row],[Quota]]-DistMeetingQuota[[#This Row],[Actual]]</f>
        <v>2</v>
      </c>
      <c r="H529" s="80">
        <f>DistMeetingQuota[[#This Row],[Actual]]/DistMeetingQuota[[#This Row],[Quota]]</f>
        <v>0</v>
      </c>
      <c r="I529" s="78"/>
      <c r="J529" s="6"/>
      <c r="K529" s="6"/>
      <c r="L529" s="6"/>
      <c r="M529" s="6"/>
      <c r="N529" s="6"/>
      <c r="O529" s="6"/>
      <c r="P529" s="120" t="s">
        <v>472</v>
      </c>
      <c r="Q529" s="6"/>
    </row>
    <row r="530" spans="1:17" s="109" customFormat="1">
      <c r="A530" s="78">
        <v>2029888</v>
      </c>
      <c r="B530" s="92" t="s">
        <v>514</v>
      </c>
      <c r="C530" s="78" t="s">
        <v>19</v>
      </c>
      <c r="D530" s="4" t="s">
        <v>11</v>
      </c>
      <c r="E530" s="79">
        <v>2</v>
      </c>
      <c r="F530" s="11">
        <f>SUM(DistMeetingQuota[[#This Row],[Sep]:[Feb]])</f>
        <v>0</v>
      </c>
      <c r="G530" s="11">
        <f>DistMeetingQuota[[#This Row],[Quota]]-DistMeetingQuota[[#This Row],[Actual]]</f>
        <v>2</v>
      </c>
      <c r="H530" s="80">
        <f>DistMeetingQuota[[#This Row],[Actual]]/DistMeetingQuota[[#This Row],[Quota]]</f>
        <v>0</v>
      </c>
      <c r="I530" s="78"/>
      <c r="J530" s="6"/>
      <c r="K530" s="6"/>
      <c r="L530" s="6"/>
      <c r="M530" s="6"/>
      <c r="N530" s="6"/>
      <c r="O530" s="6"/>
      <c r="P530" s="120" t="s">
        <v>10</v>
      </c>
      <c r="Q530" s="6"/>
    </row>
    <row r="531" spans="1:17" s="109" customFormat="1">
      <c r="A531" s="78">
        <v>2029888</v>
      </c>
      <c r="B531" s="92" t="s">
        <v>514</v>
      </c>
      <c r="C531" s="78" t="s">
        <v>19</v>
      </c>
      <c r="D531" s="4" t="s">
        <v>5</v>
      </c>
      <c r="E531" s="79">
        <v>24</v>
      </c>
      <c r="F531" s="11">
        <f>SUM(DistMeetingQuota[[#This Row],[Sep]:[Feb]])</f>
        <v>0</v>
      </c>
      <c r="G531" s="11">
        <f>DistMeetingQuota[[#This Row],[Quota]]-DistMeetingQuota[[#This Row],[Actual]]</f>
        <v>24</v>
      </c>
      <c r="H531" s="80">
        <f>DistMeetingQuota[[#This Row],[Actual]]/DistMeetingQuota[[#This Row],[Quota]]</f>
        <v>0</v>
      </c>
      <c r="I531" s="78"/>
      <c r="J531" s="6"/>
      <c r="K531" s="6"/>
      <c r="L531" s="6"/>
      <c r="M531" s="6"/>
      <c r="N531" s="6"/>
      <c r="O531" s="6"/>
      <c r="P531" s="120" t="s">
        <v>10</v>
      </c>
      <c r="Q531" s="6"/>
    </row>
    <row r="532" spans="1:17" s="109" customFormat="1">
      <c r="A532" s="78">
        <v>2074597</v>
      </c>
      <c r="B532" s="92" t="s">
        <v>515</v>
      </c>
      <c r="C532" s="78" t="s">
        <v>19</v>
      </c>
      <c r="D532" s="4" t="s">
        <v>11</v>
      </c>
      <c r="E532" s="79">
        <v>2</v>
      </c>
      <c r="F532" s="11">
        <f>SUM(DistMeetingQuota[[#This Row],[Sep]:[Feb]])</f>
        <v>0</v>
      </c>
      <c r="G532" s="11">
        <f>DistMeetingQuota[[#This Row],[Quota]]-DistMeetingQuota[[#This Row],[Actual]]</f>
        <v>2</v>
      </c>
      <c r="H532" s="80">
        <f>DistMeetingQuota[[#This Row],[Actual]]/DistMeetingQuota[[#This Row],[Quota]]</f>
        <v>0</v>
      </c>
      <c r="I532" s="78"/>
      <c r="J532" s="6"/>
      <c r="K532" s="6"/>
      <c r="L532" s="6"/>
      <c r="M532" s="6"/>
      <c r="N532" s="6"/>
      <c r="O532" s="6"/>
      <c r="P532" s="120" t="s">
        <v>10</v>
      </c>
      <c r="Q532" s="6"/>
    </row>
    <row r="533" spans="1:17" s="109" customFormat="1" ht="30">
      <c r="A533" s="78">
        <v>2118072</v>
      </c>
      <c r="B533" s="92" t="s">
        <v>516</v>
      </c>
      <c r="C533" s="78" t="s">
        <v>19</v>
      </c>
      <c r="D533" s="4" t="s">
        <v>11</v>
      </c>
      <c r="E533" s="79">
        <v>2</v>
      </c>
      <c r="F533" s="11">
        <f>SUM(DistMeetingQuota[[#This Row],[Sep]:[Feb]])</f>
        <v>0</v>
      </c>
      <c r="G533" s="11">
        <f>DistMeetingQuota[[#This Row],[Quota]]-DistMeetingQuota[[#This Row],[Actual]]</f>
        <v>2</v>
      </c>
      <c r="H533" s="80">
        <f>DistMeetingQuota[[#This Row],[Actual]]/DistMeetingQuota[[#This Row],[Quota]]</f>
        <v>0</v>
      </c>
      <c r="I533" s="78"/>
      <c r="J533" s="6"/>
      <c r="K533" s="6"/>
      <c r="L533" s="6"/>
      <c r="M533" s="6"/>
      <c r="N533" s="6"/>
      <c r="O533" s="6"/>
      <c r="P533" s="120" t="s">
        <v>492</v>
      </c>
      <c r="Q533" s="6"/>
    </row>
    <row r="534" spans="1:17" s="109" customFormat="1" ht="30">
      <c r="A534" s="4">
        <v>2110214</v>
      </c>
      <c r="B534" s="5" t="s">
        <v>517</v>
      </c>
      <c r="C534" s="4" t="s">
        <v>19</v>
      </c>
      <c r="D534" s="4" t="s">
        <v>11</v>
      </c>
      <c r="E534" s="53">
        <v>2</v>
      </c>
      <c r="F534" s="11">
        <f>SUM(DistMeetingQuota[[#This Row],[Sep]:[Feb]])</f>
        <v>0</v>
      </c>
      <c r="G534" s="11">
        <f>DistMeetingQuota[[#This Row],[Quota]]-DistMeetingQuota[[#This Row],[Actual]]</f>
        <v>2</v>
      </c>
      <c r="H534" s="49">
        <f>DistMeetingQuota[[#This Row],[Actual]]/DistMeetingQuota[[#This Row],[Quota]]</f>
        <v>0</v>
      </c>
      <c r="I534" s="4"/>
      <c r="J534" s="2"/>
      <c r="K534" s="2"/>
      <c r="L534" s="2"/>
      <c r="M534" s="2"/>
      <c r="N534" s="2"/>
      <c r="O534" s="2"/>
      <c r="P534" s="120" t="s">
        <v>14</v>
      </c>
      <c r="Q534" s="2"/>
    </row>
    <row r="535" spans="1:17" s="109" customFormat="1" ht="30">
      <c r="A535" s="4">
        <v>2147536</v>
      </c>
      <c r="B535" s="5" t="s">
        <v>518</v>
      </c>
      <c r="C535" s="4" t="s">
        <v>19</v>
      </c>
      <c r="D535" s="4" t="s">
        <v>11</v>
      </c>
      <c r="E535" s="53">
        <v>2</v>
      </c>
      <c r="F535" s="11">
        <f>SUM(DistMeetingQuota[[#This Row],[Sep]:[Feb]])</f>
        <v>0</v>
      </c>
      <c r="G535" s="11">
        <f>DistMeetingQuota[[#This Row],[Quota]]-DistMeetingQuota[[#This Row],[Actual]]</f>
        <v>2</v>
      </c>
      <c r="H535" s="49">
        <f>DistMeetingQuota[[#This Row],[Actual]]/DistMeetingQuota[[#This Row],[Quota]]</f>
        <v>0</v>
      </c>
      <c r="I535" s="4"/>
      <c r="J535" s="2"/>
      <c r="K535" s="2"/>
      <c r="L535" s="2"/>
      <c r="M535" s="2"/>
      <c r="N535" s="2"/>
      <c r="O535" s="2"/>
      <c r="P535" s="120" t="s">
        <v>14</v>
      </c>
      <c r="Q535" s="2"/>
    </row>
    <row r="536" spans="1:17" s="109" customFormat="1">
      <c r="A536" s="78">
        <v>2024167</v>
      </c>
      <c r="B536" s="92" t="s">
        <v>178</v>
      </c>
      <c r="C536" s="78" t="s">
        <v>21</v>
      </c>
      <c r="D536" s="4" t="s">
        <v>11</v>
      </c>
      <c r="E536" s="79">
        <v>3</v>
      </c>
      <c r="F536" s="11">
        <f>SUM(DistMeetingQuota[[#This Row],[Sep]:[Feb]])</f>
        <v>3</v>
      </c>
      <c r="G536" s="11">
        <f>DistMeetingQuota[[#This Row],[Quota]]-DistMeetingQuota[[#This Row],[Actual]]</f>
        <v>0</v>
      </c>
      <c r="H536" s="80">
        <f>DistMeetingQuota[[#This Row],[Actual]]/DistMeetingQuota[[#This Row],[Quota]]</f>
        <v>1</v>
      </c>
      <c r="I536" s="78"/>
      <c r="J536" s="6"/>
      <c r="K536" s="6"/>
      <c r="L536" s="6"/>
      <c r="M536" s="6">
        <v>3</v>
      </c>
      <c r="N536" s="6"/>
      <c r="O536" s="6"/>
      <c r="P536" s="120" t="s">
        <v>14</v>
      </c>
      <c r="Q536" s="6"/>
    </row>
    <row r="537" spans="1:17" s="109" customFormat="1" ht="30">
      <c r="A537" s="78">
        <v>2207477</v>
      </c>
      <c r="B537" s="92" t="s">
        <v>519</v>
      </c>
      <c r="C537" s="78" t="s">
        <v>19</v>
      </c>
      <c r="D537" s="4" t="s">
        <v>11</v>
      </c>
      <c r="E537" s="79">
        <v>2</v>
      </c>
      <c r="F537" s="11">
        <f>SUM(DistMeetingQuota[[#This Row],[Sep]:[Feb]])</f>
        <v>0</v>
      </c>
      <c r="G537" s="11">
        <f>DistMeetingQuota[[#This Row],[Quota]]-DistMeetingQuota[[#This Row],[Actual]]</f>
        <v>2</v>
      </c>
      <c r="H537" s="80">
        <f>DistMeetingQuota[[#This Row],[Actual]]/DistMeetingQuota[[#This Row],[Quota]]</f>
        <v>0</v>
      </c>
      <c r="I537" s="78"/>
      <c r="J537" s="6"/>
      <c r="K537" s="6"/>
      <c r="L537" s="6"/>
      <c r="M537" s="6"/>
      <c r="N537" s="6"/>
      <c r="O537" s="6"/>
      <c r="P537" s="120" t="s">
        <v>14</v>
      </c>
      <c r="Q537" s="6"/>
    </row>
    <row r="538" spans="1:17" s="109" customFormat="1" ht="30">
      <c r="A538" s="78">
        <v>2271182</v>
      </c>
      <c r="B538" s="92" t="s">
        <v>520</v>
      </c>
      <c r="C538" s="78" t="s">
        <v>19</v>
      </c>
      <c r="D538" s="4" t="s">
        <v>5</v>
      </c>
      <c r="E538" s="79">
        <v>24</v>
      </c>
      <c r="F538" s="11">
        <f>SUM(DistMeetingQuota[[#This Row],[Sep]:[Feb]])</f>
        <v>0</v>
      </c>
      <c r="G538" s="11">
        <f>DistMeetingQuota[[#This Row],[Quota]]-DistMeetingQuota[[#This Row],[Actual]]</f>
        <v>24</v>
      </c>
      <c r="H538" s="80">
        <f>DistMeetingQuota[[#This Row],[Actual]]/DistMeetingQuota[[#This Row],[Quota]]</f>
        <v>0</v>
      </c>
      <c r="I538" s="78"/>
      <c r="J538" s="6"/>
      <c r="K538" s="6"/>
      <c r="L538" s="6"/>
      <c r="M538" s="6"/>
      <c r="N538" s="6"/>
      <c r="O538" s="6"/>
      <c r="P538" s="120" t="s">
        <v>14</v>
      </c>
      <c r="Q538" s="6"/>
    </row>
    <row r="539" spans="1:17" s="109" customFormat="1" ht="30">
      <c r="A539" s="78">
        <v>2271182</v>
      </c>
      <c r="B539" s="92" t="s">
        <v>520</v>
      </c>
      <c r="C539" s="78" t="s">
        <v>19</v>
      </c>
      <c r="D539" s="4" t="s">
        <v>11</v>
      </c>
      <c r="E539" s="79">
        <v>2</v>
      </c>
      <c r="F539" s="11">
        <f>SUM(DistMeetingQuota[[#This Row],[Sep]:[Feb]])</f>
        <v>0</v>
      </c>
      <c r="G539" s="11">
        <f>DistMeetingQuota[[#This Row],[Quota]]-DistMeetingQuota[[#This Row],[Actual]]</f>
        <v>2</v>
      </c>
      <c r="H539" s="80">
        <f>DistMeetingQuota[[#This Row],[Actual]]/DistMeetingQuota[[#This Row],[Quota]]</f>
        <v>0</v>
      </c>
      <c r="I539" s="78"/>
      <c r="J539" s="6"/>
      <c r="K539" s="6"/>
      <c r="L539" s="6"/>
      <c r="M539" s="6"/>
      <c r="N539" s="6"/>
      <c r="O539" s="6"/>
      <c r="P539" s="120" t="s">
        <v>14</v>
      </c>
      <c r="Q539" s="6"/>
    </row>
    <row r="540" spans="1:17" s="109" customFormat="1" ht="30">
      <c r="A540" s="78">
        <v>2110130</v>
      </c>
      <c r="B540" s="92" t="s">
        <v>521</v>
      </c>
      <c r="C540" s="78" t="s">
        <v>19</v>
      </c>
      <c r="D540" s="4" t="s">
        <v>11</v>
      </c>
      <c r="E540" s="79">
        <v>3</v>
      </c>
      <c r="F540" s="11">
        <f>SUM(DistMeetingQuota[[#This Row],[Sep]:[Feb]])</f>
        <v>2</v>
      </c>
      <c r="G540" s="11">
        <f>DistMeetingQuota[[#This Row],[Quota]]-DistMeetingQuota[[#This Row],[Actual]]</f>
        <v>1</v>
      </c>
      <c r="H540" s="80">
        <f>DistMeetingQuota[[#This Row],[Actual]]/DistMeetingQuota[[#This Row],[Quota]]</f>
        <v>0.66666666666666663</v>
      </c>
      <c r="I540" s="78"/>
      <c r="J540" s="6"/>
      <c r="K540" s="6"/>
      <c r="L540" s="6">
        <v>2</v>
      </c>
      <c r="M540" s="6"/>
      <c r="N540" s="6"/>
      <c r="O540" s="6"/>
      <c r="P540" s="120" t="s">
        <v>14</v>
      </c>
      <c r="Q540" s="6"/>
    </row>
    <row r="541" spans="1:17" s="109" customFormat="1" ht="30">
      <c r="A541" s="78">
        <v>2110130</v>
      </c>
      <c r="B541" s="92" t="s">
        <v>521</v>
      </c>
      <c r="C541" s="78" t="s">
        <v>19</v>
      </c>
      <c r="D541" s="4" t="s">
        <v>13</v>
      </c>
      <c r="E541" s="79">
        <v>2</v>
      </c>
      <c r="F541" s="11">
        <f>SUM(DistMeetingQuota[[#This Row],[Sep]:[Feb]])</f>
        <v>0</v>
      </c>
      <c r="G541" s="11">
        <f>DistMeetingQuota[[#This Row],[Quota]]-DistMeetingQuota[[#This Row],[Actual]]</f>
        <v>2</v>
      </c>
      <c r="H541" s="80">
        <f>DistMeetingQuota[[#This Row],[Actual]]/DistMeetingQuota[[#This Row],[Quota]]</f>
        <v>0</v>
      </c>
      <c r="I541" s="78"/>
      <c r="J541" s="6"/>
      <c r="K541" s="6"/>
      <c r="L541" s="6"/>
      <c r="M541" s="6"/>
      <c r="N541" s="6"/>
      <c r="O541" s="6"/>
      <c r="P541" s="120" t="s">
        <v>14</v>
      </c>
      <c r="Q541" s="6"/>
    </row>
    <row r="542" spans="1:17" s="109" customFormat="1" ht="30">
      <c r="A542" s="78">
        <v>2201328</v>
      </c>
      <c r="B542" s="92" t="s">
        <v>522</v>
      </c>
      <c r="C542" s="78" t="s">
        <v>19</v>
      </c>
      <c r="D542" s="4" t="s">
        <v>11</v>
      </c>
      <c r="E542" s="79">
        <v>2</v>
      </c>
      <c r="F542" s="11">
        <f>SUM(DistMeetingQuota[[#This Row],[Sep]:[Feb]])</f>
        <v>0</v>
      </c>
      <c r="G542" s="11">
        <f>DistMeetingQuota[[#This Row],[Quota]]-DistMeetingQuota[[#This Row],[Actual]]</f>
        <v>2</v>
      </c>
      <c r="H542" s="80">
        <f>DistMeetingQuota[[#This Row],[Actual]]/DistMeetingQuota[[#This Row],[Quota]]</f>
        <v>0</v>
      </c>
      <c r="I542" s="78"/>
      <c r="J542" s="6"/>
      <c r="K542" s="6"/>
      <c r="L542" s="6"/>
      <c r="M542" s="6"/>
      <c r="N542" s="6"/>
      <c r="O542" s="6"/>
      <c r="P542" s="120" t="s">
        <v>14</v>
      </c>
      <c r="Q542" s="6"/>
    </row>
    <row r="543" spans="1:17" s="109" customFormat="1" ht="30">
      <c r="A543" s="78">
        <v>2215859</v>
      </c>
      <c r="B543" s="92" t="s">
        <v>523</v>
      </c>
      <c r="C543" s="78" t="s">
        <v>19</v>
      </c>
      <c r="D543" s="4" t="s">
        <v>11</v>
      </c>
      <c r="E543" s="79">
        <v>2</v>
      </c>
      <c r="F543" s="11">
        <f>SUM(DistMeetingQuota[[#This Row],[Sep]:[Feb]])</f>
        <v>0</v>
      </c>
      <c r="G543" s="11">
        <f>DistMeetingQuota[[#This Row],[Quota]]-DistMeetingQuota[[#This Row],[Actual]]</f>
        <v>2</v>
      </c>
      <c r="H543" s="80">
        <f>DistMeetingQuota[[#This Row],[Actual]]/DistMeetingQuota[[#This Row],[Quota]]</f>
        <v>0</v>
      </c>
      <c r="I543" s="78"/>
      <c r="J543" s="6"/>
      <c r="K543" s="6"/>
      <c r="L543" s="6"/>
      <c r="M543" s="6"/>
      <c r="N543" s="6"/>
      <c r="O543" s="6"/>
      <c r="P543" s="120" t="s">
        <v>14</v>
      </c>
      <c r="Q543" s="6"/>
    </row>
    <row r="544" spans="1:17" s="109" customFormat="1" ht="30">
      <c r="A544" s="78">
        <v>2189093</v>
      </c>
      <c r="B544" s="92" t="s">
        <v>524</v>
      </c>
      <c r="C544" s="78" t="s">
        <v>19</v>
      </c>
      <c r="D544" s="4" t="s">
        <v>11</v>
      </c>
      <c r="E544" s="79">
        <v>2</v>
      </c>
      <c r="F544" s="11">
        <f>SUM(DistMeetingQuota[[#This Row],[Sep]:[Feb]])</f>
        <v>0</v>
      </c>
      <c r="G544" s="11">
        <f>DistMeetingQuota[[#This Row],[Quota]]-DistMeetingQuota[[#This Row],[Actual]]</f>
        <v>2</v>
      </c>
      <c r="H544" s="80">
        <f>DistMeetingQuota[[#This Row],[Actual]]/DistMeetingQuota[[#This Row],[Quota]]</f>
        <v>0</v>
      </c>
      <c r="I544" s="78"/>
      <c r="J544" s="6"/>
      <c r="K544" s="6"/>
      <c r="L544" s="6"/>
      <c r="M544" s="6"/>
      <c r="N544" s="6"/>
      <c r="O544" s="6"/>
      <c r="P544" s="120" t="s">
        <v>14</v>
      </c>
      <c r="Q544" s="6"/>
    </row>
    <row r="545" spans="1:17" s="109" customFormat="1" ht="30">
      <c r="A545" s="78">
        <v>2277248</v>
      </c>
      <c r="B545" s="92" t="s">
        <v>525</v>
      </c>
      <c r="C545" s="78" t="s">
        <v>19</v>
      </c>
      <c r="D545" s="4" t="s">
        <v>5</v>
      </c>
      <c r="E545" s="79">
        <v>24</v>
      </c>
      <c r="F545" s="11">
        <f>SUM(DistMeetingQuota[[#This Row],[Sep]:[Feb]])</f>
        <v>0</v>
      </c>
      <c r="G545" s="11">
        <f>DistMeetingQuota[[#This Row],[Quota]]-DistMeetingQuota[[#This Row],[Actual]]</f>
        <v>24</v>
      </c>
      <c r="H545" s="80">
        <f>DistMeetingQuota[[#This Row],[Actual]]/DistMeetingQuota[[#This Row],[Quota]]</f>
        <v>0</v>
      </c>
      <c r="I545" s="78"/>
      <c r="J545" s="6"/>
      <c r="K545" s="6"/>
      <c r="L545" s="6"/>
      <c r="M545" s="6"/>
      <c r="N545" s="6"/>
      <c r="O545" s="6"/>
      <c r="P545" s="120" t="s">
        <v>55</v>
      </c>
      <c r="Q545" s="6"/>
    </row>
    <row r="546" spans="1:17" s="109" customFormat="1" ht="30">
      <c r="A546" s="4">
        <v>2277248</v>
      </c>
      <c r="B546" s="5" t="s">
        <v>525</v>
      </c>
      <c r="C546" s="4" t="s">
        <v>19</v>
      </c>
      <c r="D546" s="4" t="s">
        <v>11</v>
      </c>
      <c r="E546" s="53">
        <v>2</v>
      </c>
      <c r="F546" s="11">
        <f>SUM(DistMeetingQuota[[#This Row],[Sep]:[Feb]])</f>
        <v>2</v>
      </c>
      <c r="G546" s="11">
        <f>DistMeetingQuota[[#This Row],[Quota]]-DistMeetingQuota[[#This Row],[Actual]]</f>
        <v>0</v>
      </c>
      <c r="H546" s="49">
        <f>DistMeetingQuota[[#This Row],[Actual]]/DistMeetingQuota[[#This Row],[Quota]]</f>
        <v>1</v>
      </c>
      <c r="I546" s="4"/>
      <c r="J546" s="2"/>
      <c r="K546" s="2">
        <v>2</v>
      </c>
      <c r="L546" s="2"/>
      <c r="M546" s="2"/>
      <c r="N546" s="2"/>
      <c r="O546" s="2"/>
      <c r="P546" s="120" t="s">
        <v>55</v>
      </c>
      <c r="Q546" s="2"/>
    </row>
    <row r="547" spans="1:17" s="109" customFormat="1" ht="30">
      <c r="A547" s="78">
        <v>2146637</v>
      </c>
      <c r="B547" s="92" t="s">
        <v>526</v>
      </c>
      <c r="C547" s="78" t="s">
        <v>19</v>
      </c>
      <c r="D547" s="4" t="s">
        <v>5</v>
      </c>
      <c r="E547" s="79">
        <v>24</v>
      </c>
      <c r="F547" s="11">
        <f>SUM(DistMeetingQuota[[#This Row],[Sep]:[Feb]])</f>
        <v>24</v>
      </c>
      <c r="G547" s="11">
        <f>DistMeetingQuota[[#This Row],[Quota]]-DistMeetingQuota[[#This Row],[Actual]]</f>
        <v>0</v>
      </c>
      <c r="H547" s="80">
        <f>DistMeetingQuota[[#This Row],[Actual]]/DistMeetingQuota[[#This Row],[Quota]]</f>
        <v>1</v>
      </c>
      <c r="I547" s="78">
        <v>4</v>
      </c>
      <c r="J547" s="6">
        <v>4</v>
      </c>
      <c r="K547" s="6">
        <v>4</v>
      </c>
      <c r="L547" s="6">
        <v>4</v>
      </c>
      <c r="M547" s="6">
        <v>4</v>
      </c>
      <c r="N547" s="6">
        <v>4</v>
      </c>
      <c r="O547" s="6"/>
      <c r="P547" s="120" t="s">
        <v>476</v>
      </c>
      <c r="Q547" s="6"/>
    </row>
    <row r="548" spans="1:17" s="109" customFormat="1" ht="30">
      <c r="A548" s="78">
        <v>2305905</v>
      </c>
      <c r="B548" s="92" t="s">
        <v>527</v>
      </c>
      <c r="C548" s="78" t="s">
        <v>19</v>
      </c>
      <c r="D548" s="4" t="s">
        <v>11</v>
      </c>
      <c r="E548" s="79">
        <v>2</v>
      </c>
      <c r="F548" s="11">
        <f>SUM(DistMeetingQuota[[#This Row],[Sep]:[Feb]])</f>
        <v>0</v>
      </c>
      <c r="G548" s="11">
        <f>DistMeetingQuota[[#This Row],[Quota]]-DistMeetingQuota[[#This Row],[Actual]]</f>
        <v>2</v>
      </c>
      <c r="H548" s="80">
        <f>DistMeetingQuota[[#This Row],[Actual]]/DistMeetingQuota[[#This Row],[Quota]]</f>
        <v>0</v>
      </c>
      <c r="I548" s="78"/>
      <c r="J548" s="6"/>
      <c r="K548" s="6"/>
      <c r="L548" s="6"/>
      <c r="M548" s="6"/>
      <c r="N548" s="6"/>
      <c r="O548" s="6"/>
      <c r="P548" s="120" t="s">
        <v>14</v>
      </c>
      <c r="Q548" s="6"/>
    </row>
    <row r="549" spans="1:17" s="109" customFormat="1">
      <c r="A549" s="78">
        <v>2010093</v>
      </c>
      <c r="B549" s="92" t="s">
        <v>529</v>
      </c>
      <c r="C549" s="78" t="s">
        <v>19</v>
      </c>
      <c r="D549" s="4" t="s">
        <v>11</v>
      </c>
      <c r="E549" s="79">
        <v>2</v>
      </c>
      <c r="F549" s="11">
        <f>SUM(DistMeetingQuota[[#This Row],[Sep]:[Feb]])</f>
        <v>0</v>
      </c>
      <c r="G549" s="11">
        <f>DistMeetingQuota[[#This Row],[Quota]]-DistMeetingQuota[[#This Row],[Actual]]</f>
        <v>2</v>
      </c>
      <c r="H549" s="80">
        <f>DistMeetingQuota[[#This Row],[Actual]]/DistMeetingQuota[[#This Row],[Quota]]</f>
        <v>0</v>
      </c>
      <c r="I549" s="78"/>
      <c r="J549" s="6"/>
      <c r="K549" s="6"/>
      <c r="L549" s="6"/>
      <c r="M549" s="6"/>
      <c r="N549" s="6"/>
      <c r="O549" s="6"/>
      <c r="P549" s="120" t="s">
        <v>496</v>
      </c>
      <c r="Q549" s="6"/>
    </row>
    <row r="550" spans="1:17" s="109" customFormat="1">
      <c r="A550" s="78">
        <v>2010093</v>
      </c>
      <c r="B550" s="92" t="s">
        <v>529</v>
      </c>
      <c r="C550" s="78" t="s">
        <v>19</v>
      </c>
      <c r="D550" s="4" t="s">
        <v>5</v>
      </c>
      <c r="E550" s="79">
        <v>24</v>
      </c>
      <c r="F550" s="11">
        <f>SUM(DistMeetingQuota[[#This Row],[Sep]:[Feb]])</f>
        <v>0</v>
      </c>
      <c r="G550" s="11">
        <f>DistMeetingQuota[[#This Row],[Quota]]-DistMeetingQuota[[#This Row],[Actual]]</f>
        <v>24</v>
      </c>
      <c r="H550" s="80">
        <f>DistMeetingQuota[[#This Row],[Actual]]/DistMeetingQuota[[#This Row],[Quota]]</f>
        <v>0</v>
      </c>
      <c r="I550" s="78"/>
      <c r="J550" s="6"/>
      <c r="K550" s="6"/>
      <c r="L550" s="6"/>
      <c r="M550" s="6"/>
      <c r="N550" s="6"/>
      <c r="O550" s="6"/>
      <c r="P550" s="120" t="s">
        <v>496</v>
      </c>
      <c r="Q550" s="6"/>
    </row>
    <row r="551" spans="1:17" s="109" customFormat="1" ht="30">
      <c r="A551" s="78">
        <v>2143226</v>
      </c>
      <c r="B551" s="92" t="s">
        <v>530</v>
      </c>
      <c r="C551" s="78" t="s">
        <v>19</v>
      </c>
      <c r="D551" s="4" t="s">
        <v>11</v>
      </c>
      <c r="E551" s="79">
        <v>2</v>
      </c>
      <c r="F551" s="11">
        <f>SUM(DistMeetingQuota[[#This Row],[Sep]:[Feb]])</f>
        <v>0</v>
      </c>
      <c r="G551" s="11">
        <f>DistMeetingQuota[[#This Row],[Quota]]-DistMeetingQuota[[#This Row],[Actual]]</f>
        <v>2</v>
      </c>
      <c r="H551" s="80">
        <f>DistMeetingQuota[[#This Row],[Actual]]/DistMeetingQuota[[#This Row],[Quota]]</f>
        <v>0</v>
      </c>
      <c r="I551" s="78"/>
      <c r="J551" s="6"/>
      <c r="K551" s="6"/>
      <c r="L551" s="6"/>
      <c r="M551" s="6"/>
      <c r="N551" s="6"/>
      <c r="O551" s="6"/>
      <c r="P551" s="120" t="s">
        <v>14</v>
      </c>
      <c r="Q551" s="6"/>
    </row>
    <row r="552" spans="1:17" s="109" customFormat="1" ht="30">
      <c r="A552" s="78">
        <v>2187745</v>
      </c>
      <c r="B552" s="92" t="s">
        <v>531</v>
      </c>
      <c r="C552" s="78" t="s">
        <v>19</v>
      </c>
      <c r="D552" s="4" t="s">
        <v>11</v>
      </c>
      <c r="E552" s="79">
        <v>2</v>
      </c>
      <c r="F552" s="11">
        <f>SUM(DistMeetingQuota[[#This Row],[Sep]:[Feb]])</f>
        <v>0</v>
      </c>
      <c r="G552" s="11">
        <f>DistMeetingQuota[[#This Row],[Quota]]-DistMeetingQuota[[#This Row],[Actual]]</f>
        <v>2</v>
      </c>
      <c r="H552" s="80">
        <f>DistMeetingQuota[[#This Row],[Actual]]/DistMeetingQuota[[#This Row],[Quota]]</f>
        <v>0</v>
      </c>
      <c r="I552" s="78"/>
      <c r="J552" s="6"/>
      <c r="K552" s="6"/>
      <c r="L552" s="6"/>
      <c r="M552" s="6"/>
      <c r="N552" s="6"/>
      <c r="O552" s="6"/>
      <c r="P552" s="120" t="s">
        <v>532</v>
      </c>
      <c r="Q552" s="6"/>
    </row>
    <row r="553" spans="1:17" s="109" customFormat="1">
      <c r="A553" s="78">
        <v>2081179</v>
      </c>
      <c r="B553" s="92" t="s">
        <v>533</v>
      </c>
      <c r="C553" s="78" t="s">
        <v>19</v>
      </c>
      <c r="D553" s="4" t="s">
        <v>11</v>
      </c>
      <c r="E553" s="79">
        <v>2</v>
      </c>
      <c r="F553" s="11">
        <f>SUM(DistMeetingQuota[[#This Row],[Sep]:[Feb]])</f>
        <v>0</v>
      </c>
      <c r="G553" s="11">
        <f>DistMeetingQuota[[#This Row],[Quota]]-DistMeetingQuota[[#This Row],[Actual]]</f>
        <v>2</v>
      </c>
      <c r="H553" s="80">
        <f>DistMeetingQuota[[#This Row],[Actual]]/DistMeetingQuota[[#This Row],[Quota]]</f>
        <v>0</v>
      </c>
      <c r="I553" s="78"/>
      <c r="J553" s="6"/>
      <c r="K553" s="6"/>
      <c r="L553" s="6"/>
      <c r="M553" s="6"/>
      <c r="N553" s="6"/>
      <c r="O553" s="6"/>
      <c r="P553" s="120" t="s">
        <v>14</v>
      </c>
      <c r="Q553" s="6"/>
    </row>
    <row r="554" spans="1:17" s="109" customFormat="1">
      <c r="A554" s="78">
        <v>2119419</v>
      </c>
      <c r="B554" s="92" t="s">
        <v>534</v>
      </c>
      <c r="C554" s="78" t="s">
        <v>21</v>
      </c>
      <c r="D554" s="4" t="s">
        <v>11</v>
      </c>
      <c r="E554" s="79">
        <v>3</v>
      </c>
      <c r="F554" s="11">
        <f>SUM(DistMeetingQuota[[#This Row],[Sep]:[Feb]])</f>
        <v>2</v>
      </c>
      <c r="G554" s="11">
        <f>DistMeetingQuota[[#This Row],[Quota]]-DistMeetingQuota[[#This Row],[Actual]]</f>
        <v>1</v>
      </c>
      <c r="H554" s="80">
        <f>DistMeetingQuota[[#This Row],[Actual]]/DistMeetingQuota[[#This Row],[Quota]]</f>
        <v>0.66666666666666663</v>
      </c>
      <c r="I554" s="78"/>
      <c r="J554" s="6">
        <v>1</v>
      </c>
      <c r="K554" s="6"/>
      <c r="L554" s="6"/>
      <c r="M554" s="6">
        <v>1</v>
      </c>
      <c r="N554" s="6"/>
      <c r="O554" s="6"/>
      <c r="P554" s="120" t="s">
        <v>10</v>
      </c>
      <c r="Q554" s="6"/>
    </row>
    <row r="555" spans="1:17" s="109" customFormat="1" ht="30">
      <c r="A555" s="78">
        <v>2013579</v>
      </c>
      <c r="B555" s="92" t="s">
        <v>535</v>
      </c>
      <c r="C555" s="78" t="s">
        <v>19</v>
      </c>
      <c r="D555" s="4" t="s">
        <v>5</v>
      </c>
      <c r="E555" s="79">
        <v>12</v>
      </c>
      <c r="F555" s="11">
        <f>SUM(DistMeetingQuota[[#This Row],[Sep]:[Feb]])</f>
        <v>0</v>
      </c>
      <c r="G555" s="11">
        <f>DistMeetingQuota[[#This Row],[Quota]]-DistMeetingQuota[[#This Row],[Actual]]</f>
        <v>12</v>
      </c>
      <c r="H555" s="80">
        <f>DistMeetingQuota[[#This Row],[Actual]]/DistMeetingQuota[[#This Row],[Quota]]</f>
        <v>0</v>
      </c>
      <c r="I555" s="78"/>
      <c r="J555" s="6"/>
      <c r="K555" s="6"/>
      <c r="L555" s="6"/>
      <c r="M555" s="6"/>
      <c r="N555" s="6"/>
      <c r="O555" s="6"/>
      <c r="P555" s="120" t="s">
        <v>536</v>
      </c>
      <c r="Q555" s="6"/>
    </row>
    <row r="556" spans="1:17" s="109" customFormat="1" ht="30">
      <c r="A556" s="78">
        <v>2013579</v>
      </c>
      <c r="B556" s="92" t="s">
        <v>535</v>
      </c>
      <c r="C556" s="78" t="s">
        <v>19</v>
      </c>
      <c r="D556" s="4" t="s">
        <v>11</v>
      </c>
      <c r="E556" s="79">
        <v>2</v>
      </c>
      <c r="F556" s="11">
        <f>SUM(DistMeetingQuota[[#This Row],[Sep]:[Feb]])</f>
        <v>0</v>
      </c>
      <c r="G556" s="11">
        <f>DistMeetingQuota[[#This Row],[Quota]]-DistMeetingQuota[[#This Row],[Actual]]</f>
        <v>2</v>
      </c>
      <c r="H556" s="80">
        <f>DistMeetingQuota[[#This Row],[Actual]]/DistMeetingQuota[[#This Row],[Quota]]</f>
        <v>0</v>
      </c>
      <c r="I556" s="78"/>
      <c r="J556" s="6"/>
      <c r="K556" s="6"/>
      <c r="L556" s="6"/>
      <c r="M556" s="6"/>
      <c r="N556" s="6"/>
      <c r="O556" s="6"/>
      <c r="P556" s="120"/>
      <c r="Q556" s="6"/>
    </row>
    <row r="557" spans="1:17" s="109" customFormat="1" ht="30">
      <c r="A557" s="78">
        <v>2192239</v>
      </c>
      <c r="B557" s="92" t="s">
        <v>537</v>
      </c>
      <c r="C557" s="78" t="s">
        <v>19</v>
      </c>
      <c r="D557" s="4" t="s">
        <v>5</v>
      </c>
      <c r="E557" s="79">
        <v>24</v>
      </c>
      <c r="F557" s="11">
        <f>SUM(DistMeetingQuota[[#This Row],[Sep]:[Feb]])</f>
        <v>24</v>
      </c>
      <c r="G557" s="11">
        <f>DistMeetingQuota[[#This Row],[Quota]]-DistMeetingQuota[[#This Row],[Actual]]</f>
        <v>0</v>
      </c>
      <c r="H557" s="80">
        <f>DistMeetingQuota[[#This Row],[Actual]]/DistMeetingQuota[[#This Row],[Quota]]</f>
        <v>1</v>
      </c>
      <c r="I557" s="78">
        <v>4</v>
      </c>
      <c r="J557" s="6">
        <v>4</v>
      </c>
      <c r="K557" s="6">
        <v>4</v>
      </c>
      <c r="L557" s="6">
        <v>5</v>
      </c>
      <c r="M557" s="6">
        <v>4</v>
      </c>
      <c r="N557" s="6">
        <v>3</v>
      </c>
      <c r="O557" s="6"/>
      <c r="P557" s="120" t="s">
        <v>67</v>
      </c>
      <c r="Q557" s="6"/>
    </row>
    <row r="558" spans="1:17" s="109" customFormat="1" ht="30">
      <c r="A558" s="78">
        <v>2192239</v>
      </c>
      <c r="B558" s="92" t="s">
        <v>537</v>
      </c>
      <c r="C558" s="78" t="s">
        <v>19</v>
      </c>
      <c r="D558" s="4" t="s">
        <v>11</v>
      </c>
      <c r="E558" s="79">
        <v>2</v>
      </c>
      <c r="F558" s="11">
        <f>SUM(DistMeetingQuota[[#This Row],[Sep]:[Feb]])</f>
        <v>2</v>
      </c>
      <c r="G558" s="11">
        <f>DistMeetingQuota[[#This Row],[Quota]]-DistMeetingQuota[[#This Row],[Actual]]</f>
        <v>0</v>
      </c>
      <c r="H558" s="80">
        <f>DistMeetingQuota[[#This Row],[Actual]]/DistMeetingQuota[[#This Row],[Quota]]</f>
        <v>1</v>
      </c>
      <c r="I558" s="78"/>
      <c r="J558" s="6"/>
      <c r="K558" s="6"/>
      <c r="L558" s="6"/>
      <c r="M558" s="6"/>
      <c r="N558" s="6">
        <v>2</v>
      </c>
      <c r="O558" s="6"/>
      <c r="P558" s="120" t="s">
        <v>67</v>
      </c>
      <c r="Q558" s="6"/>
    </row>
    <row r="559" spans="1:17" s="109" customFormat="1" ht="30">
      <c r="A559" s="78">
        <v>2368485</v>
      </c>
      <c r="B559" s="92" t="s">
        <v>538</v>
      </c>
      <c r="C559" s="78" t="s">
        <v>19</v>
      </c>
      <c r="D559" s="4" t="s">
        <v>5</v>
      </c>
      <c r="E559" s="79">
        <v>24</v>
      </c>
      <c r="F559" s="11">
        <f>SUM(DistMeetingQuota[[#This Row],[Sep]:[Feb]])</f>
        <v>0</v>
      </c>
      <c r="G559" s="11">
        <f>DistMeetingQuota[[#This Row],[Quota]]-DistMeetingQuota[[#This Row],[Actual]]</f>
        <v>24</v>
      </c>
      <c r="H559" s="80">
        <f>DistMeetingQuota[[#This Row],[Actual]]/DistMeetingQuota[[#This Row],[Quota]]</f>
        <v>0</v>
      </c>
      <c r="I559" s="78"/>
      <c r="J559" s="6"/>
      <c r="K559" s="6"/>
      <c r="L559" s="6"/>
      <c r="M559" s="6"/>
      <c r="N559" s="6"/>
      <c r="O559" s="6"/>
      <c r="P559" s="120" t="s">
        <v>60</v>
      </c>
      <c r="Q559" s="6"/>
    </row>
    <row r="560" spans="1:17" s="109" customFormat="1" ht="30">
      <c r="A560" s="78">
        <v>2368485</v>
      </c>
      <c r="B560" s="92" t="s">
        <v>538</v>
      </c>
      <c r="C560" s="78" t="s">
        <v>19</v>
      </c>
      <c r="D560" s="4" t="s">
        <v>11</v>
      </c>
      <c r="E560" s="79">
        <v>2</v>
      </c>
      <c r="F560" s="11">
        <f>SUM(DistMeetingQuota[[#This Row],[Sep]:[Feb]])</f>
        <v>0</v>
      </c>
      <c r="G560" s="11">
        <f>DistMeetingQuota[[#This Row],[Quota]]-DistMeetingQuota[[#This Row],[Actual]]</f>
        <v>2</v>
      </c>
      <c r="H560" s="80">
        <f>DistMeetingQuota[[#This Row],[Actual]]/DistMeetingQuota[[#This Row],[Quota]]</f>
        <v>0</v>
      </c>
      <c r="I560" s="78"/>
      <c r="J560" s="6"/>
      <c r="K560" s="6"/>
      <c r="L560" s="6"/>
      <c r="M560" s="6"/>
      <c r="N560" s="6"/>
      <c r="O560" s="6"/>
      <c r="P560" s="120" t="s">
        <v>60</v>
      </c>
      <c r="Q560" s="6"/>
    </row>
    <row r="561" spans="1:17" s="109" customFormat="1">
      <c r="A561" s="78">
        <v>2050672</v>
      </c>
      <c r="B561" s="92" t="s">
        <v>539</v>
      </c>
      <c r="C561" s="78" t="s">
        <v>19</v>
      </c>
      <c r="D561" s="4" t="s">
        <v>11</v>
      </c>
      <c r="E561" s="79">
        <v>2</v>
      </c>
      <c r="F561" s="11">
        <f>SUM(DistMeetingQuota[[#This Row],[Sep]:[Feb]])</f>
        <v>0</v>
      </c>
      <c r="G561" s="11">
        <f>DistMeetingQuota[[#This Row],[Quota]]-DistMeetingQuota[[#This Row],[Actual]]</f>
        <v>2</v>
      </c>
      <c r="H561" s="80">
        <f>DistMeetingQuota[[#This Row],[Actual]]/DistMeetingQuota[[#This Row],[Quota]]</f>
        <v>0</v>
      </c>
      <c r="I561" s="78"/>
      <c r="J561" s="6"/>
      <c r="K561" s="6"/>
      <c r="L561" s="6"/>
      <c r="M561" s="6"/>
      <c r="N561" s="6"/>
      <c r="O561" s="6"/>
      <c r="P561" s="120" t="s">
        <v>10</v>
      </c>
      <c r="Q561" s="6"/>
    </row>
    <row r="562" spans="1:17" s="109" customFormat="1">
      <c r="A562" s="78">
        <v>2060413</v>
      </c>
      <c r="B562" s="92" t="s">
        <v>540</v>
      </c>
      <c r="C562" s="78" t="s">
        <v>21</v>
      </c>
      <c r="D562" s="4" t="s">
        <v>11</v>
      </c>
      <c r="E562" s="79">
        <v>3</v>
      </c>
      <c r="F562" s="11">
        <f>SUM(DistMeetingQuota[[#This Row],[Sep]:[Feb]])</f>
        <v>3</v>
      </c>
      <c r="G562" s="11">
        <f>DistMeetingQuota[[#This Row],[Quota]]-DistMeetingQuota[[#This Row],[Actual]]</f>
        <v>0</v>
      </c>
      <c r="H562" s="80">
        <f>DistMeetingQuota[[#This Row],[Actual]]/DistMeetingQuota[[#This Row],[Quota]]</f>
        <v>1</v>
      </c>
      <c r="I562" s="78"/>
      <c r="J562" s="6"/>
      <c r="K562" s="6">
        <v>1</v>
      </c>
      <c r="L562" s="6">
        <v>2</v>
      </c>
      <c r="M562" s="6"/>
      <c r="N562" s="6"/>
      <c r="O562" s="6"/>
      <c r="P562" s="120" t="s">
        <v>10</v>
      </c>
      <c r="Q562" s="6"/>
    </row>
    <row r="563" spans="1:17" s="109" customFormat="1">
      <c r="A563" s="78">
        <v>2060413</v>
      </c>
      <c r="B563" s="92" t="s">
        <v>540</v>
      </c>
      <c r="C563" s="78" t="s">
        <v>21</v>
      </c>
      <c r="D563" s="4" t="s">
        <v>13</v>
      </c>
      <c r="E563" s="79">
        <v>2</v>
      </c>
      <c r="F563" s="11">
        <f>SUM(DistMeetingQuota[[#This Row],[Sep]:[Feb]])</f>
        <v>0</v>
      </c>
      <c r="G563" s="11">
        <f>DistMeetingQuota[[#This Row],[Quota]]-DistMeetingQuota[[#This Row],[Actual]]</f>
        <v>2</v>
      </c>
      <c r="H563" s="80">
        <f>DistMeetingQuota[[#This Row],[Actual]]/DistMeetingQuota[[#This Row],[Quota]]</f>
        <v>0</v>
      </c>
      <c r="I563" s="78"/>
      <c r="J563" s="6"/>
      <c r="K563" s="6"/>
      <c r="L563" s="6"/>
      <c r="M563" s="6"/>
      <c r="N563" s="6"/>
      <c r="O563" s="6"/>
      <c r="P563" s="120" t="s">
        <v>10</v>
      </c>
      <c r="Q563" s="6"/>
    </row>
    <row r="564" spans="1:17" s="109" customFormat="1" ht="30">
      <c r="A564" s="78">
        <v>2248125</v>
      </c>
      <c r="B564" s="92" t="s">
        <v>541</v>
      </c>
      <c r="C564" s="78" t="s">
        <v>19</v>
      </c>
      <c r="D564" s="4" t="s">
        <v>5</v>
      </c>
      <c r="E564" s="79">
        <v>24</v>
      </c>
      <c r="F564" s="11">
        <f>SUM(DistMeetingQuota[[#This Row],[Sep]:[Feb]])</f>
        <v>4</v>
      </c>
      <c r="G564" s="11">
        <f>DistMeetingQuota[[#This Row],[Quota]]-DistMeetingQuota[[#This Row],[Actual]]</f>
        <v>20</v>
      </c>
      <c r="H564" s="80">
        <f>DistMeetingQuota[[#This Row],[Actual]]/DistMeetingQuota[[#This Row],[Quota]]</f>
        <v>0.16666666666666666</v>
      </c>
      <c r="I564" s="78"/>
      <c r="J564" s="6"/>
      <c r="K564" s="6"/>
      <c r="L564" s="6">
        <v>2</v>
      </c>
      <c r="M564" s="6">
        <v>2</v>
      </c>
      <c r="N564" s="6"/>
      <c r="O564" s="6"/>
      <c r="P564" s="120" t="s">
        <v>10</v>
      </c>
      <c r="Q564" s="6"/>
    </row>
    <row r="565" spans="1:17" s="109" customFormat="1" ht="30">
      <c r="A565" s="78">
        <v>2248125</v>
      </c>
      <c r="B565" s="92" t="s">
        <v>541</v>
      </c>
      <c r="C565" s="78" t="s">
        <v>19</v>
      </c>
      <c r="D565" s="4" t="s">
        <v>11</v>
      </c>
      <c r="E565" s="79">
        <v>2</v>
      </c>
      <c r="F565" s="11">
        <f>SUM(DistMeetingQuota[[#This Row],[Sep]:[Feb]])</f>
        <v>1</v>
      </c>
      <c r="G565" s="11">
        <f>DistMeetingQuota[[#This Row],[Quota]]-DistMeetingQuota[[#This Row],[Actual]]</f>
        <v>1</v>
      </c>
      <c r="H565" s="80">
        <f>DistMeetingQuota[[#This Row],[Actual]]/DistMeetingQuota[[#This Row],[Quota]]</f>
        <v>0.5</v>
      </c>
      <c r="I565" s="78"/>
      <c r="J565" s="6">
        <v>1</v>
      </c>
      <c r="K565" s="6"/>
      <c r="L565" s="6"/>
      <c r="M565" s="6"/>
      <c r="N565" s="6"/>
      <c r="O565" s="6"/>
      <c r="P565" s="120" t="s">
        <v>10</v>
      </c>
      <c r="Q565" s="6"/>
    </row>
    <row r="566" spans="1:17" s="109" customFormat="1">
      <c r="A566" s="78">
        <v>2293398</v>
      </c>
      <c r="B566" s="92" t="s">
        <v>542</v>
      </c>
      <c r="C566" s="78" t="s">
        <v>19</v>
      </c>
      <c r="D566" s="4" t="s">
        <v>11</v>
      </c>
      <c r="E566" s="79">
        <v>2</v>
      </c>
      <c r="F566" s="11">
        <f>SUM(DistMeetingQuota[[#This Row],[Sep]:[Feb]])</f>
        <v>2</v>
      </c>
      <c r="G566" s="11">
        <f>DistMeetingQuota[[#This Row],[Quota]]-DistMeetingQuota[[#This Row],[Actual]]</f>
        <v>0</v>
      </c>
      <c r="H566" s="80">
        <f>DistMeetingQuota[[#This Row],[Actual]]/DistMeetingQuota[[#This Row],[Quota]]</f>
        <v>1</v>
      </c>
      <c r="I566" s="78">
        <v>2</v>
      </c>
      <c r="J566" s="6"/>
      <c r="K566" s="6"/>
      <c r="L566" s="6"/>
      <c r="M566" s="6"/>
      <c r="N566" s="6"/>
      <c r="O566" s="6"/>
      <c r="P566" s="120" t="s">
        <v>10</v>
      </c>
      <c r="Q566" s="6"/>
    </row>
    <row r="567" spans="1:17" s="109" customFormat="1" ht="30">
      <c r="A567" s="78">
        <v>2301540</v>
      </c>
      <c r="B567" s="92" t="s">
        <v>543</v>
      </c>
      <c r="C567" s="78" t="s">
        <v>21</v>
      </c>
      <c r="D567" s="4" t="s">
        <v>11</v>
      </c>
      <c r="E567" s="79">
        <v>3</v>
      </c>
      <c r="F567" s="11">
        <f>SUM(DistMeetingQuota[[#This Row],[Sep]:[Feb]])</f>
        <v>0</v>
      </c>
      <c r="G567" s="11">
        <f>DistMeetingQuota[[#This Row],[Quota]]-DistMeetingQuota[[#This Row],[Actual]]</f>
        <v>3</v>
      </c>
      <c r="H567" s="80">
        <f>DistMeetingQuota[[#This Row],[Actual]]/DistMeetingQuota[[#This Row],[Quota]]</f>
        <v>0</v>
      </c>
      <c r="I567" s="78"/>
      <c r="J567" s="6"/>
      <c r="K567" s="6"/>
      <c r="L567" s="6"/>
      <c r="M567" s="6"/>
      <c r="N567" s="6"/>
      <c r="O567" s="6"/>
      <c r="P567" s="120" t="s">
        <v>10</v>
      </c>
      <c r="Q567" s="6"/>
    </row>
    <row r="568" spans="1:17" s="109" customFormat="1" ht="30">
      <c r="A568" s="78">
        <v>2301540</v>
      </c>
      <c r="B568" s="92" t="s">
        <v>543</v>
      </c>
      <c r="C568" s="78" t="s">
        <v>21</v>
      </c>
      <c r="D568" s="4" t="s">
        <v>13</v>
      </c>
      <c r="E568" s="79">
        <v>2</v>
      </c>
      <c r="F568" s="11">
        <f>SUM(DistMeetingQuota[[#This Row],[Sep]:[Feb]])</f>
        <v>2</v>
      </c>
      <c r="G568" s="11">
        <f>DistMeetingQuota[[#This Row],[Quota]]-DistMeetingQuota[[#This Row],[Actual]]</f>
        <v>0</v>
      </c>
      <c r="H568" s="80">
        <f>DistMeetingQuota[[#This Row],[Actual]]/DistMeetingQuota[[#This Row],[Quota]]</f>
        <v>1</v>
      </c>
      <c r="I568" s="78"/>
      <c r="J568" s="6">
        <v>2</v>
      </c>
      <c r="K568" s="6"/>
      <c r="L568" s="6"/>
      <c r="M568" s="6"/>
      <c r="N568" s="6"/>
      <c r="O568" s="6"/>
      <c r="P568" s="120" t="s">
        <v>10</v>
      </c>
      <c r="Q568" s="6"/>
    </row>
    <row r="569" spans="1:17" s="109" customFormat="1">
      <c r="A569" s="78">
        <v>2009216</v>
      </c>
      <c r="B569" s="92" t="s">
        <v>544</v>
      </c>
      <c r="C569" s="78" t="s">
        <v>19</v>
      </c>
      <c r="D569" s="4" t="s">
        <v>11</v>
      </c>
      <c r="E569" s="79">
        <v>2</v>
      </c>
      <c r="F569" s="11">
        <f>SUM(DistMeetingQuota[[#This Row],[Sep]:[Feb]])</f>
        <v>0</v>
      </c>
      <c r="G569" s="11">
        <f>DistMeetingQuota[[#This Row],[Quota]]-DistMeetingQuota[[#This Row],[Actual]]</f>
        <v>2</v>
      </c>
      <c r="H569" s="80">
        <f>DistMeetingQuota[[#This Row],[Actual]]/DistMeetingQuota[[#This Row],[Quota]]</f>
        <v>0</v>
      </c>
      <c r="I569" s="78"/>
      <c r="J569" s="6"/>
      <c r="K569" s="6"/>
      <c r="L569" s="6"/>
      <c r="M569" s="6"/>
      <c r="N569" s="6"/>
      <c r="O569" s="6"/>
      <c r="P569" s="120" t="s">
        <v>10</v>
      </c>
      <c r="Q569" s="6"/>
    </row>
    <row r="570" spans="1:17" s="109" customFormat="1" ht="30">
      <c r="A570" s="78">
        <v>2075533</v>
      </c>
      <c r="B570" s="92" t="s">
        <v>545</v>
      </c>
      <c r="C570" s="78" t="s">
        <v>19</v>
      </c>
      <c r="D570" s="4" t="s">
        <v>11</v>
      </c>
      <c r="E570" s="79">
        <v>2</v>
      </c>
      <c r="F570" s="11">
        <f>SUM(DistMeetingQuota[[#This Row],[Sep]:[Feb]])</f>
        <v>0</v>
      </c>
      <c r="G570" s="11">
        <f>DistMeetingQuota[[#This Row],[Quota]]-DistMeetingQuota[[#This Row],[Actual]]</f>
        <v>2</v>
      </c>
      <c r="H570" s="80">
        <f>DistMeetingQuota[[#This Row],[Actual]]/DistMeetingQuota[[#This Row],[Quota]]</f>
        <v>0</v>
      </c>
      <c r="I570" s="78"/>
      <c r="J570" s="6"/>
      <c r="K570" s="6"/>
      <c r="L570" s="6"/>
      <c r="M570" s="6"/>
      <c r="N570" s="6"/>
      <c r="O570" s="6"/>
      <c r="P570" s="120" t="s">
        <v>10</v>
      </c>
      <c r="Q570" s="6"/>
    </row>
    <row r="571" spans="1:17" s="109" customFormat="1" ht="30">
      <c r="A571" s="78">
        <v>2019094</v>
      </c>
      <c r="B571" s="92" t="s">
        <v>546</v>
      </c>
      <c r="C571" s="78" t="s">
        <v>19</v>
      </c>
      <c r="D571" s="4" t="s">
        <v>11</v>
      </c>
      <c r="E571" s="79">
        <v>2</v>
      </c>
      <c r="F571" s="11">
        <f>SUM(DistMeetingQuota[[#This Row],[Sep]:[Feb]])</f>
        <v>0</v>
      </c>
      <c r="G571" s="11">
        <f>DistMeetingQuota[[#This Row],[Quota]]-DistMeetingQuota[[#This Row],[Actual]]</f>
        <v>2</v>
      </c>
      <c r="H571" s="80">
        <f>DistMeetingQuota[[#This Row],[Actual]]/DistMeetingQuota[[#This Row],[Quota]]</f>
        <v>0</v>
      </c>
      <c r="I571" s="78"/>
      <c r="J571" s="6"/>
      <c r="K571" s="6"/>
      <c r="L571" s="6"/>
      <c r="M571" s="6"/>
      <c r="N571" s="6"/>
      <c r="O571" s="6"/>
      <c r="P571" s="120" t="s">
        <v>10</v>
      </c>
      <c r="Q571" s="6"/>
    </row>
    <row r="572" spans="1:17" s="109" customFormat="1" ht="30">
      <c r="A572" s="78">
        <v>2179159</v>
      </c>
      <c r="B572" s="92" t="s">
        <v>547</v>
      </c>
      <c r="C572" s="78" t="s">
        <v>19</v>
      </c>
      <c r="D572" s="4" t="s">
        <v>5</v>
      </c>
      <c r="E572" s="79">
        <v>24</v>
      </c>
      <c r="F572" s="11">
        <f>SUM(DistMeetingQuota[[#This Row],[Sep]:[Feb]])</f>
        <v>4</v>
      </c>
      <c r="G572" s="11">
        <f>DistMeetingQuota[[#This Row],[Quota]]-DistMeetingQuota[[#This Row],[Actual]]</f>
        <v>20</v>
      </c>
      <c r="H572" s="80">
        <f>DistMeetingQuota[[#This Row],[Actual]]/DistMeetingQuota[[#This Row],[Quota]]</f>
        <v>0.16666666666666666</v>
      </c>
      <c r="I572" s="78">
        <v>4</v>
      </c>
      <c r="J572" s="6"/>
      <c r="K572" s="6"/>
      <c r="L572" s="6"/>
      <c r="M572" s="6"/>
      <c r="N572" s="6"/>
      <c r="O572" s="6"/>
      <c r="P572" s="120" t="s">
        <v>475</v>
      </c>
      <c r="Q572" s="6"/>
    </row>
    <row r="573" spans="1:17" s="109" customFormat="1" ht="30">
      <c r="A573" s="78">
        <v>2179159</v>
      </c>
      <c r="B573" s="92" t="s">
        <v>547</v>
      </c>
      <c r="C573" s="78" t="s">
        <v>19</v>
      </c>
      <c r="D573" s="4" t="s">
        <v>11</v>
      </c>
      <c r="E573" s="79">
        <v>2</v>
      </c>
      <c r="F573" s="11">
        <f>SUM(DistMeetingQuota[[#This Row],[Sep]:[Feb]])</f>
        <v>1</v>
      </c>
      <c r="G573" s="11">
        <f>DistMeetingQuota[[#This Row],[Quota]]-DistMeetingQuota[[#This Row],[Actual]]</f>
        <v>1</v>
      </c>
      <c r="H573" s="80">
        <f>DistMeetingQuota[[#This Row],[Actual]]/DistMeetingQuota[[#This Row],[Quota]]</f>
        <v>0.5</v>
      </c>
      <c r="I573" s="78"/>
      <c r="J573" s="6"/>
      <c r="K573" s="6"/>
      <c r="L573" s="6">
        <v>1</v>
      </c>
      <c r="M573" s="6"/>
      <c r="N573" s="6"/>
      <c r="O573" s="6"/>
      <c r="P573" s="120" t="s">
        <v>475</v>
      </c>
      <c r="Q573" s="6"/>
    </row>
    <row r="574" spans="1:17" s="109" customFormat="1" ht="30">
      <c r="A574" s="78">
        <v>2057300</v>
      </c>
      <c r="B574" s="92" t="s">
        <v>499</v>
      </c>
      <c r="C574" s="78" t="s">
        <v>19</v>
      </c>
      <c r="D574" s="4" t="s">
        <v>5</v>
      </c>
      <c r="E574" s="79">
        <v>24</v>
      </c>
      <c r="F574" s="11">
        <f>SUM(DistMeetingQuota[[#This Row],[Sep]:[Feb]])</f>
        <v>0</v>
      </c>
      <c r="G574" s="11">
        <f>DistMeetingQuota[[#This Row],[Quota]]-DistMeetingQuota[[#This Row],[Actual]]</f>
        <v>24</v>
      </c>
      <c r="H574" s="80">
        <f>DistMeetingQuota[[#This Row],[Actual]]/DistMeetingQuota[[#This Row],[Quota]]</f>
        <v>0</v>
      </c>
      <c r="I574" s="78"/>
      <c r="J574" s="6"/>
      <c r="K574" s="6"/>
      <c r="L574" s="6"/>
      <c r="M574" s="6"/>
      <c r="N574" s="6"/>
      <c r="O574" s="6"/>
      <c r="P574" s="120" t="s">
        <v>475</v>
      </c>
      <c r="Q574" s="6"/>
    </row>
    <row r="575" spans="1:17" s="109" customFormat="1">
      <c r="A575" s="78">
        <v>2119597</v>
      </c>
      <c r="B575" s="92" t="s">
        <v>548</v>
      </c>
      <c r="C575" s="78" t="s">
        <v>19</v>
      </c>
      <c r="D575" s="4" t="s">
        <v>5</v>
      </c>
      <c r="E575" s="79">
        <v>24</v>
      </c>
      <c r="F575" s="11">
        <f>SUM(DistMeetingQuota[[#This Row],[Sep]:[Feb]])</f>
        <v>0</v>
      </c>
      <c r="G575" s="11">
        <f>DistMeetingQuota[[#This Row],[Quota]]-DistMeetingQuota[[#This Row],[Actual]]</f>
        <v>24</v>
      </c>
      <c r="H575" s="80">
        <f>DistMeetingQuota[[#This Row],[Actual]]/DistMeetingQuota[[#This Row],[Quota]]</f>
        <v>0</v>
      </c>
      <c r="I575" s="78"/>
      <c r="J575" s="6"/>
      <c r="K575" s="6"/>
      <c r="L575" s="6"/>
      <c r="M575" s="6"/>
      <c r="N575" s="6"/>
      <c r="O575" s="6"/>
      <c r="P575" s="120" t="s">
        <v>475</v>
      </c>
      <c r="Q575" s="6"/>
    </row>
    <row r="576" spans="1:17" s="109" customFormat="1">
      <c r="A576" s="78">
        <v>2119597</v>
      </c>
      <c r="B576" s="92" t="s">
        <v>548</v>
      </c>
      <c r="C576" s="78" t="s">
        <v>19</v>
      </c>
      <c r="D576" s="4" t="s">
        <v>11</v>
      </c>
      <c r="E576" s="79">
        <v>2</v>
      </c>
      <c r="F576" s="11">
        <f>SUM(DistMeetingQuota[[#This Row],[Sep]:[Feb]])</f>
        <v>2</v>
      </c>
      <c r="G576" s="11">
        <f>DistMeetingQuota[[#This Row],[Quota]]-DistMeetingQuota[[#This Row],[Actual]]</f>
        <v>0</v>
      </c>
      <c r="H576" s="80">
        <f>DistMeetingQuota[[#This Row],[Actual]]/DistMeetingQuota[[#This Row],[Quota]]</f>
        <v>1</v>
      </c>
      <c r="I576" s="78">
        <v>1</v>
      </c>
      <c r="J576" s="6">
        <v>1</v>
      </c>
      <c r="K576" s="6"/>
      <c r="L576" s="6"/>
      <c r="M576" s="6"/>
      <c r="N576" s="6"/>
      <c r="O576" s="6"/>
      <c r="P576" s="120" t="s">
        <v>475</v>
      </c>
      <c r="Q576" s="6"/>
    </row>
    <row r="577" spans="1:17" s="109" customFormat="1" ht="18.75" customHeight="1">
      <c r="A577" s="78">
        <v>2040536</v>
      </c>
      <c r="B577" s="92" t="s">
        <v>549</v>
      </c>
      <c r="C577" s="78" t="s">
        <v>19</v>
      </c>
      <c r="D577" s="4" t="s">
        <v>11</v>
      </c>
      <c r="E577" s="79">
        <v>2</v>
      </c>
      <c r="F577" s="11">
        <f>SUM(DistMeetingQuota[[#This Row],[Sep]:[Feb]])</f>
        <v>0</v>
      </c>
      <c r="G577" s="11">
        <f>DistMeetingQuota[[#This Row],[Quota]]-DistMeetingQuota[[#This Row],[Actual]]</f>
        <v>2</v>
      </c>
      <c r="H577" s="80">
        <f>DistMeetingQuota[[#This Row],[Actual]]/DistMeetingQuota[[#This Row],[Quota]]</f>
        <v>0</v>
      </c>
      <c r="I577" s="78"/>
      <c r="J577" s="6"/>
      <c r="K577" s="6"/>
      <c r="L577" s="6"/>
      <c r="M577" s="6"/>
      <c r="N577" s="6"/>
      <c r="O577" s="6"/>
      <c r="P577" s="120" t="s">
        <v>10</v>
      </c>
      <c r="Q577" s="6"/>
    </row>
    <row r="578" spans="1:17" s="109" customFormat="1" ht="30.75" customHeight="1">
      <c r="A578" s="78">
        <v>2165024</v>
      </c>
      <c r="B578" s="92" t="s">
        <v>561</v>
      </c>
      <c r="C578" s="78" t="s">
        <v>19</v>
      </c>
      <c r="D578" s="4" t="s">
        <v>11</v>
      </c>
      <c r="E578" s="79">
        <v>2</v>
      </c>
      <c r="F578" s="11">
        <f>SUM(DistMeetingQuota[[#This Row],[Sep]:[Feb]])</f>
        <v>0</v>
      </c>
      <c r="G578" s="11">
        <f>DistMeetingQuota[[#This Row],[Quota]]-DistMeetingQuota[[#This Row],[Actual]]</f>
        <v>2</v>
      </c>
      <c r="H578" s="80">
        <f>DistMeetingQuota[[#This Row],[Actual]]/DistMeetingQuota[[#This Row],[Quota]]</f>
        <v>0</v>
      </c>
      <c r="I578" s="78"/>
      <c r="J578" s="6"/>
      <c r="K578" s="6"/>
      <c r="L578" s="6"/>
      <c r="M578" s="6"/>
      <c r="N578" s="6"/>
      <c r="O578" s="6"/>
      <c r="P578" s="120" t="s">
        <v>10</v>
      </c>
      <c r="Q578" s="6"/>
    </row>
    <row r="579" spans="1:17" s="109" customFormat="1" ht="30">
      <c r="A579" s="78">
        <v>2028565</v>
      </c>
      <c r="B579" s="92" t="s">
        <v>550</v>
      </c>
      <c r="C579" s="78" t="s">
        <v>19</v>
      </c>
      <c r="D579" s="4" t="s">
        <v>11</v>
      </c>
      <c r="E579" s="79">
        <v>2</v>
      </c>
      <c r="F579" s="11">
        <f>SUM(DistMeetingQuota[[#This Row],[Sep]:[Feb]])</f>
        <v>0</v>
      </c>
      <c r="G579" s="11">
        <f>DistMeetingQuota[[#This Row],[Quota]]-DistMeetingQuota[[#This Row],[Actual]]</f>
        <v>2</v>
      </c>
      <c r="H579" s="80">
        <f>DistMeetingQuota[[#This Row],[Actual]]/DistMeetingQuota[[#This Row],[Quota]]</f>
        <v>0</v>
      </c>
      <c r="I579" s="78"/>
      <c r="J579" s="6"/>
      <c r="K579" s="6"/>
      <c r="L579" s="6"/>
      <c r="M579" s="6"/>
      <c r="N579" s="6"/>
      <c r="O579" s="6"/>
      <c r="P579" s="120" t="s">
        <v>14</v>
      </c>
      <c r="Q579" s="6"/>
    </row>
    <row r="580" spans="1:17" s="109" customFormat="1" ht="30">
      <c r="A580" s="78">
        <v>2030725</v>
      </c>
      <c r="B580" s="92" t="s">
        <v>551</v>
      </c>
      <c r="C580" s="78" t="s">
        <v>19</v>
      </c>
      <c r="D580" s="4" t="s">
        <v>11</v>
      </c>
      <c r="E580" s="79">
        <v>2</v>
      </c>
      <c r="F580" s="11">
        <f>SUM(DistMeetingQuota[[#This Row],[Sep]:[Feb]])</f>
        <v>0</v>
      </c>
      <c r="G580" s="11">
        <f>DistMeetingQuota[[#This Row],[Quota]]-DistMeetingQuota[[#This Row],[Actual]]</f>
        <v>2</v>
      </c>
      <c r="H580" s="80">
        <f>DistMeetingQuota[[#This Row],[Actual]]/DistMeetingQuota[[#This Row],[Quota]]</f>
        <v>0</v>
      </c>
      <c r="I580" s="78"/>
      <c r="J580" s="6"/>
      <c r="K580" s="6"/>
      <c r="L580" s="6"/>
      <c r="M580" s="6"/>
      <c r="N580" s="6"/>
      <c r="O580" s="6"/>
      <c r="P580" s="120" t="s">
        <v>10</v>
      </c>
      <c r="Q580" s="6"/>
    </row>
    <row r="581" spans="1:17" s="109" customFormat="1" ht="30">
      <c r="A581" s="78">
        <v>2098143</v>
      </c>
      <c r="B581" s="92" t="s">
        <v>338</v>
      </c>
      <c r="C581" s="78" t="s">
        <v>19</v>
      </c>
      <c r="D581" s="4" t="s">
        <v>5</v>
      </c>
      <c r="E581" s="79">
        <v>24</v>
      </c>
      <c r="F581" s="11">
        <f>SUM(DistMeetingQuota[[#This Row],[Sep]:[Feb]])</f>
        <v>8</v>
      </c>
      <c r="G581" s="11">
        <f>DistMeetingQuota[[#This Row],[Quota]]-DistMeetingQuota[[#This Row],[Actual]]</f>
        <v>16</v>
      </c>
      <c r="H581" s="80">
        <f>DistMeetingQuota[[#This Row],[Actual]]/DistMeetingQuota[[#This Row],[Quota]]</f>
        <v>0.33333333333333331</v>
      </c>
      <c r="I581" s="78">
        <v>2</v>
      </c>
      <c r="J581" s="6">
        <v>1</v>
      </c>
      <c r="K581" s="6">
        <v>1</v>
      </c>
      <c r="L581" s="6">
        <v>2</v>
      </c>
      <c r="M581" s="6">
        <v>2</v>
      </c>
      <c r="N581" s="6"/>
      <c r="O581" s="6"/>
      <c r="P581" s="139" t="s">
        <v>698</v>
      </c>
      <c r="Q581" s="6"/>
    </row>
    <row r="582" spans="1:17" s="109" customFormat="1">
      <c r="A582" s="78">
        <v>2069098</v>
      </c>
      <c r="B582" s="92" t="s">
        <v>552</v>
      </c>
      <c r="C582" s="78" t="s">
        <v>19</v>
      </c>
      <c r="D582" s="4" t="s">
        <v>5</v>
      </c>
      <c r="E582" s="79">
        <v>24</v>
      </c>
      <c r="F582" s="11">
        <f>SUM(DistMeetingQuota[[#This Row],[Sep]:[Feb]])</f>
        <v>0</v>
      </c>
      <c r="G582" s="11">
        <f>DistMeetingQuota[[#This Row],[Quota]]-DistMeetingQuota[[#This Row],[Actual]]</f>
        <v>24</v>
      </c>
      <c r="H582" s="80">
        <f>DistMeetingQuota[[#This Row],[Actual]]/DistMeetingQuota[[#This Row],[Quota]]</f>
        <v>0</v>
      </c>
      <c r="I582" s="78"/>
      <c r="J582" s="6"/>
      <c r="K582" s="6"/>
      <c r="L582" s="6"/>
      <c r="M582" s="6"/>
      <c r="N582" s="6"/>
      <c r="O582" s="6"/>
      <c r="P582" s="120" t="s">
        <v>65</v>
      </c>
      <c r="Q582" s="6"/>
    </row>
    <row r="583" spans="1:17" s="109" customFormat="1">
      <c r="A583" s="78">
        <v>2069098</v>
      </c>
      <c r="B583" s="92" t="s">
        <v>552</v>
      </c>
      <c r="C583" s="78" t="s">
        <v>19</v>
      </c>
      <c r="D583" s="4" t="s">
        <v>11</v>
      </c>
      <c r="E583" s="79">
        <v>2</v>
      </c>
      <c r="F583" s="11">
        <f>SUM(DistMeetingQuota[[#This Row],[Sep]:[Feb]])</f>
        <v>0</v>
      </c>
      <c r="G583" s="11">
        <f>DistMeetingQuota[[#This Row],[Quota]]-DistMeetingQuota[[#This Row],[Actual]]</f>
        <v>2</v>
      </c>
      <c r="H583" s="80">
        <f>DistMeetingQuota[[#This Row],[Actual]]/DistMeetingQuota[[#This Row],[Quota]]</f>
        <v>0</v>
      </c>
      <c r="I583" s="78"/>
      <c r="J583" s="6"/>
      <c r="K583" s="6"/>
      <c r="L583" s="6"/>
      <c r="M583" s="6"/>
      <c r="N583" s="6"/>
      <c r="O583" s="6"/>
      <c r="P583" s="120" t="s">
        <v>65</v>
      </c>
      <c r="Q583" s="6"/>
    </row>
    <row r="584" spans="1:17" s="109" customFormat="1" ht="30">
      <c r="A584" s="78">
        <v>2110278</v>
      </c>
      <c r="B584" s="92" t="s">
        <v>553</v>
      </c>
      <c r="C584" s="78" t="s">
        <v>19</v>
      </c>
      <c r="D584" s="4" t="s">
        <v>5</v>
      </c>
      <c r="E584" s="79">
        <v>24</v>
      </c>
      <c r="F584" s="11">
        <f>SUM(DistMeetingQuota[[#This Row],[Sep]:[Feb]])</f>
        <v>0</v>
      </c>
      <c r="G584" s="11">
        <f>DistMeetingQuota[[#This Row],[Quota]]-DistMeetingQuota[[#This Row],[Actual]]</f>
        <v>24</v>
      </c>
      <c r="H584" s="80">
        <f>DistMeetingQuota[[#This Row],[Actual]]/DistMeetingQuota[[#This Row],[Quota]]</f>
        <v>0</v>
      </c>
      <c r="I584" s="78"/>
      <c r="J584" s="6"/>
      <c r="K584" s="6"/>
      <c r="L584" s="6"/>
      <c r="M584" s="6"/>
      <c r="N584" s="6"/>
      <c r="O584" s="6"/>
      <c r="P584" s="120" t="s">
        <v>65</v>
      </c>
      <c r="Q584" s="6"/>
    </row>
    <row r="585" spans="1:17" s="109" customFormat="1" ht="30">
      <c r="A585" s="78">
        <v>2110278</v>
      </c>
      <c r="B585" s="92" t="s">
        <v>553</v>
      </c>
      <c r="C585" s="78" t="s">
        <v>19</v>
      </c>
      <c r="D585" s="4" t="s">
        <v>11</v>
      </c>
      <c r="E585" s="79">
        <v>2</v>
      </c>
      <c r="F585" s="11">
        <f>SUM(DistMeetingQuota[[#This Row],[Sep]:[Feb]])</f>
        <v>0</v>
      </c>
      <c r="G585" s="11">
        <f>DistMeetingQuota[[#This Row],[Quota]]-DistMeetingQuota[[#This Row],[Actual]]</f>
        <v>2</v>
      </c>
      <c r="H585" s="80">
        <f>DistMeetingQuota[[#This Row],[Actual]]/DistMeetingQuota[[#This Row],[Quota]]</f>
        <v>0</v>
      </c>
      <c r="I585" s="78"/>
      <c r="J585" s="6"/>
      <c r="K585" s="6"/>
      <c r="L585" s="6"/>
      <c r="M585" s="6"/>
      <c r="N585" s="6"/>
      <c r="O585" s="6"/>
      <c r="P585" s="120" t="s">
        <v>65</v>
      </c>
      <c r="Q585" s="6"/>
    </row>
    <row r="586" spans="1:17" s="109" customFormat="1">
      <c r="A586" s="78">
        <v>2131845</v>
      </c>
      <c r="B586" s="92" t="s">
        <v>554</v>
      </c>
      <c r="C586" s="78" t="s">
        <v>19</v>
      </c>
      <c r="D586" s="4" t="s">
        <v>5</v>
      </c>
      <c r="E586" s="79">
        <v>24</v>
      </c>
      <c r="F586" s="11">
        <f>SUM(DistMeetingQuota[[#This Row],[Sep]:[Feb]])</f>
        <v>0</v>
      </c>
      <c r="G586" s="11">
        <f>DistMeetingQuota[[#This Row],[Quota]]-DistMeetingQuota[[#This Row],[Actual]]</f>
        <v>24</v>
      </c>
      <c r="H586" s="80">
        <f>DistMeetingQuota[[#This Row],[Actual]]/DistMeetingQuota[[#This Row],[Quota]]</f>
        <v>0</v>
      </c>
      <c r="I586" s="78"/>
      <c r="J586" s="6"/>
      <c r="K586" s="6"/>
      <c r="L586" s="6"/>
      <c r="M586" s="6"/>
      <c r="N586" s="6"/>
      <c r="O586" s="6"/>
      <c r="P586" s="139" t="s">
        <v>14</v>
      </c>
      <c r="Q586" s="6"/>
    </row>
    <row r="587" spans="1:17" s="109" customFormat="1">
      <c r="A587" s="78">
        <v>2131845</v>
      </c>
      <c r="B587" s="92" t="s">
        <v>554</v>
      </c>
      <c r="C587" s="78" t="s">
        <v>19</v>
      </c>
      <c r="D587" s="4" t="s">
        <v>11</v>
      </c>
      <c r="E587" s="79">
        <v>2</v>
      </c>
      <c r="F587" s="11">
        <f>SUM(DistMeetingQuota[[#This Row],[Sep]:[Feb]])</f>
        <v>0</v>
      </c>
      <c r="G587" s="11">
        <f>DistMeetingQuota[[#This Row],[Quota]]-DistMeetingQuota[[#This Row],[Actual]]</f>
        <v>2</v>
      </c>
      <c r="H587" s="80">
        <f>DistMeetingQuota[[#This Row],[Actual]]/DistMeetingQuota[[#This Row],[Quota]]</f>
        <v>0</v>
      </c>
      <c r="I587" s="78"/>
      <c r="J587" s="6"/>
      <c r="K587" s="6"/>
      <c r="L587" s="6"/>
      <c r="M587" s="6"/>
      <c r="N587" s="6"/>
      <c r="O587" s="6"/>
      <c r="P587" s="139" t="s">
        <v>14</v>
      </c>
      <c r="Q587" s="6"/>
    </row>
    <row r="588" spans="1:17" s="109" customFormat="1" ht="30">
      <c r="A588" s="78">
        <v>2261679</v>
      </c>
      <c r="B588" s="92" t="s">
        <v>555</v>
      </c>
      <c r="C588" s="78" t="s">
        <v>19</v>
      </c>
      <c r="D588" s="4" t="s">
        <v>11</v>
      </c>
      <c r="E588" s="79">
        <v>2</v>
      </c>
      <c r="F588" s="11">
        <f>SUM(DistMeetingQuota[[#This Row],[Sep]:[Feb]])</f>
        <v>0</v>
      </c>
      <c r="G588" s="11">
        <f>DistMeetingQuota[[#This Row],[Quota]]-DistMeetingQuota[[#This Row],[Actual]]</f>
        <v>2</v>
      </c>
      <c r="H588" s="80">
        <f>DistMeetingQuota[[#This Row],[Actual]]/DistMeetingQuota[[#This Row],[Quota]]</f>
        <v>0</v>
      </c>
      <c r="I588" s="78"/>
      <c r="J588" s="6"/>
      <c r="K588" s="6"/>
      <c r="L588" s="6"/>
      <c r="M588" s="6"/>
      <c r="N588" s="6"/>
      <c r="O588" s="6"/>
      <c r="P588" s="120" t="s">
        <v>14</v>
      </c>
      <c r="Q588" s="6"/>
    </row>
    <row r="589" spans="1:17" s="109" customFormat="1" ht="30">
      <c r="A589" s="78">
        <v>2203116</v>
      </c>
      <c r="B589" s="92" t="s">
        <v>556</v>
      </c>
      <c r="C589" s="78" t="s">
        <v>19</v>
      </c>
      <c r="D589" s="4" t="s">
        <v>5</v>
      </c>
      <c r="E589" s="79">
        <v>24</v>
      </c>
      <c r="F589" s="11">
        <f>SUM(DistMeetingQuota[[#This Row],[Sep]:[Feb]])</f>
        <v>0</v>
      </c>
      <c r="G589" s="11">
        <f>DistMeetingQuota[[#This Row],[Quota]]-DistMeetingQuota[[#This Row],[Actual]]</f>
        <v>24</v>
      </c>
      <c r="H589" s="80">
        <f>DistMeetingQuota[[#This Row],[Actual]]/DistMeetingQuota[[#This Row],[Quota]]</f>
        <v>0</v>
      </c>
      <c r="I589" s="78"/>
      <c r="J589" s="6"/>
      <c r="K589" s="6"/>
      <c r="L589" s="6"/>
      <c r="M589" s="6"/>
      <c r="N589" s="6"/>
      <c r="O589" s="6"/>
      <c r="P589" s="120" t="s">
        <v>65</v>
      </c>
      <c r="Q589" s="6"/>
    </row>
    <row r="590" spans="1:17" s="109" customFormat="1" ht="30">
      <c r="A590" s="78">
        <v>2203116</v>
      </c>
      <c r="B590" s="92" t="s">
        <v>556</v>
      </c>
      <c r="C590" s="78" t="s">
        <v>19</v>
      </c>
      <c r="D590" s="4" t="s">
        <v>11</v>
      </c>
      <c r="E590" s="79">
        <v>2</v>
      </c>
      <c r="F590" s="11">
        <f>SUM(DistMeetingQuota[[#This Row],[Sep]:[Feb]])</f>
        <v>0</v>
      </c>
      <c r="G590" s="11">
        <f>DistMeetingQuota[[#This Row],[Quota]]-DistMeetingQuota[[#This Row],[Actual]]</f>
        <v>2</v>
      </c>
      <c r="H590" s="80">
        <f>DistMeetingQuota[[#This Row],[Actual]]/DistMeetingQuota[[#This Row],[Quota]]</f>
        <v>0</v>
      </c>
      <c r="I590" s="78"/>
      <c r="J590" s="6"/>
      <c r="K590" s="6"/>
      <c r="L590" s="6"/>
      <c r="M590" s="6"/>
      <c r="N590" s="6"/>
      <c r="O590" s="6"/>
      <c r="P590" s="120" t="s">
        <v>65</v>
      </c>
      <c r="Q590" s="6"/>
    </row>
    <row r="591" spans="1:17" s="109" customFormat="1" ht="30">
      <c r="A591" s="78">
        <v>2139338</v>
      </c>
      <c r="B591" s="92" t="s">
        <v>557</v>
      </c>
      <c r="C591" s="78" t="s">
        <v>19</v>
      </c>
      <c r="D591" s="4" t="s">
        <v>11</v>
      </c>
      <c r="E591" s="79">
        <v>2</v>
      </c>
      <c r="F591" s="11">
        <f>SUM(DistMeetingQuota[[#This Row],[Sep]:[Feb]])</f>
        <v>1</v>
      </c>
      <c r="G591" s="11">
        <f>DistMeetingQuota[[#This Row],[Quota]]-DistMeetingQuota[[#This Row],[Actual]]</f>
        <v>1</v>
      </c>
      <c r="H591" s="80">
        <f>DistMeetingQuota[[#This Row],[Actual]]/DistMeetingQuota[[#This Row],[Quota]]</f>
        <v>0.5</v>
      </c>
      <c r="I591" s="78"/>
      <c r="J591" s="6"/>
      <c r="K591" s="6">
        <v>1</v>
      </c>
      <c r="L591" s="6"/>
      <c r="M591" s="6"/>
      <c r="N591" s="6"/>
      <c r="O591" s="6"/>
      <c r="P591" s="120" t="s">
        <v>10</v>
      </c>
      <c r="Q591" s="6"/>
    </row>
    <row r="592" spans="1:17" s="109" customFormat="1" ht="30">
      <c r="A592" s="78">
        <v>2324238</v>
      </c>
      <c r="B592" s="92" t="s">
        <v>558</v>
      </c>
      <c r="C592" s="78" t="s">
        <v>19</v>
      </c>
      <c r="D592" s="4" t="s">
        <v>11</v>
      </c>
      <c r="E592" s="79">
        <v>2</v>
      </c>
      <c r="F592" s="11">
        <f>SUM(DistMeetingQuota[[#This Row],[Sep]:[Feb]])</f>
        <v>0</v>
      </c>
      <c r="G592" s="11">
        <f>DistMeetingQuota[[#This Row],[Quota]]-DistMeetingQuota[[#This Row],[Actual]]</f>
        <v>2</v>
      </c>
      <c r="H592" s="80">
        <f>DistMeetingQuota[[#This Row],[Actual]]/DistMeetingQuota[[#This Row],[Quota]]</f>
        <v>0</v>
      </c>
      <c r="I592" s="78"/>
      <c r="J592" s="6"/>
      <c r="K592" s="6"/>
      <c r="L592" s="6"/>
      <c r="M592" s="6"/>
      <c r="N592" s="6"/>
      <c r="O592" s="6"/>
      <c r="P592" s="120" t="s">
        <v>14</v>
      </c>
      <c r="Q592" s="6"/>
    </row>
    <row r="593" spans="1:17" s="109" customFormat="1" ht="30">
      <c r="A593" s="78">
        <v>2100725</v>
      </c>
      <c r="B593" s="92" t="s">
        <v>559</v>
      </c>
      <c r="C593" s="78" t="s">
        <v>19</v>
      </c>
      <c r="D593" s="4" t="s">
        <v>11</v>
      </c>
      <c r="E593" s="79">
        <v>2</v>
      </c>
      <c r="F593" s="11">
        <f>SUM(DistMeetingQuota[[#This Row],[Sep]:[Feb]])</f>
        <v>0</v>
      </c>
      <c r="G593" s="11">
        <f>DistMeetingQuota[[#This Row],[Quota]]-DistMeetingQuota[[#This Row],[Actual]]</f>
        <v>2</v>
      </c>
      <c r="H593" s="80">
        <f>DistMeetingQuota[[#This Row],[Actual]]/DistMeetingQuota[[#This Row],[Quota]]</f>
        <v>0</v>
      </c>
      <c r="I593" s="78"/>
      <c r="J593" s="6"/>
      <c r="K593" s="6"/>
      <c r="L593" s="6"/>
      <c r="M593" s="6"/>
      <c r="N593" s="6"/>
      <c r="O593" s="6"/>
      <c r="P593" s="120" t="s">
        <v>14</v>
      </c>
      <c r="Q593" s="6"/>
    </row>
    <row r="594" spans="1:17" s="109" customFormat="1" ht="30">
      <c r="A594" s="78">
        <v>2214400</v>
      </c>
      <c r="B594" s="92" t="s">
        <v>560</v>
      </c>
      <c r="C594" s="78" t="s">
        <v>19</v>
      </c>
      <c r="D594" s="4" t="s">
        <v>11</v>
      </c>
      <c r="E594" s="79">
        <v>2</v>
      </c>
      <c r="F594" s="11">
        <f>SUM(DistMeetingQuota[[#This Row],[Sep]:[Feb]])</f>
        <v>2</v>
      </c>
      <c r="G594" s="11">
        <f>DistMeetingQuota[[#This Row],[Quota]]-DistMeetingQuota[[#This Row],[Actual]]</f>
        <v>0</v>
      </c>
      <c r="H594" s="80">
        <f>DistMeetingQuota[[#This Row],[Actual]]/DistMeetingQuota[[#This Row],[Quota]]</f>
        <v>1</v>
      </c>
      <c r="I594" s="78">
        <v>2</v>
      </c>
      <c r="J594" s="6"/>
      <c r="K594" s="6"/>
      <c r="L594" s="6"/>
      <c r="M594" s="6"/>
      <c r="N594" s="6"/>
      <c r="O594" s="6"/>
      <c r="P594" s="120" t="s">
        <v>14</v>
      </c>
      <c r="Q594" s="6"/>
    </row>
    <row r="595" spans="1:17" s="109" customFormat="1">
      <c r="A595" s="78">
        <v>2166520</v>
      </c>
      <c r="B595" s="92" t="s">
        <v>562</v>
      </c>
      <c r="C595" s="78" t="s">
        <v>21</v>
      </c>
      <c r="D595" s="4" t="s">
        <v>11</v>
      </c>
      <c r="E595" s="79">
        <v>3</v>
      </c>
      <c r="F595" s="11">
        <f>SUM(DistMeetingQuota[[#This Row],[Sep]:[Feb]])</f>
        <v>1</v>
      </c>
      <c r="G595" s="11">
        <f>DistMeetingQuota[[#This Row],[Quota]]-DistMeetingQuota[[#This Row],[Actual]]</f>
        <v>2</v>
      </c>
      <c r="H595" s="80">
        <f>DistMeetingQuota[[#This Row],[Actual]]/DistMeetingQuota[[#This Row],[Quota]]</f>
        <v>0.33333333333333331</v>
      </c>
      <c r="I595" s="78"/>
      <c r="J595" s="6">
        <v>1</v>
      </c>
      <c r="K595" s="6"/>
      <c r="L595" s="6"/>
      <c r="M595" s="6"/>
      <c r="N595" s="6"/>
      <c r="O595" s="6"/>
      <c r="P595" s="120" t="s">
        <v>10</v>
      </c>
      <c r="Q595" s="6"/>
    </row>
    <row r="596" spans="1:17" s="109" customFormat="1">
      <c r="A596" s="78">
        <v>2166520</v>
      </c>
      <c r="B596" s="92" t="s">
        <v>562</v>
      </c>
      <c r="C596" s="78" t="s">
        <v>21</v>
      </c>
      <c r="D596" s="4" t="s">
        <v>11</v>
      </c>
      <c r="E596" s="79">
        <v>2</v>
      </c>
      <c r="F596" s="11">
        <f>SUM(DistMeetingQuota[[#This Row],[Sep]:[Feb]])</f>
        <v>0</v>
      </c>
      <c r="G596" s="11">
        <f>DistMeetingQuota[[#This Row],[Quota]]-DistMeetingQuota[[#This Row],[Actual]]</f>
        <v>2</v>
      </c>
      <c r="H596" s="80">
        <f>DistMeetingQuota[[#This Row],[Actual]]/DistMeetingQuota[[#This Row],[Quota]]</f>
        <v>0</v>
      </c>
      <c r="I596" s="78"/>
      <c r="J596" s="6"/>
      <c r="K596" s="6"/>
      <c r="L596" s="6"/>
      <c r="M596" s="6"/>
      <c r="N596" s="6"/>
      <c r="O596" s="6"/>
      <c r="P596" s="120" t="s">
        <v>10</v>
      </c>
      <c r="Q596" s="6"/>
    </row>
    <row r="597" spans="1:17" s="109" customFormat="1">
      <c r="A597" s="78">
        <v>2149171</v>
      </c>
      <c r="B597" s="92" t="s">
        <v>563</v>
      </c>
      <c r="C597" s="78" t="s">
        <v>19</v>
      </c>
      <c r="D597" s="4" t="s">
        <v>11</v>
      </c>
      <c r="E597" s="79">
        <v>2</v>
      </c>
      <c r="F597" s="11">
        <f>SUM(DistMeetingQuota[[#This Row],[Sep]:[Feb]])</f>
        <v>2</v>
      </c>
      <c r="G597" s="11">
        <f>DistMeetingQuota[[#This Row],[Quota]]-DistMeetingQuota[[#This Row],[Actual]]</f>
        <v>0</v>
      </c>
      <c r="H597" s="80">
        <f>DistMeetingQuota[[#This Row],[Actual]]/DistMeetingQuota[[#This Row],[Quota]]</f>
        <v>1</v>
      </c>
      <c r="I597" s="78"/>
      <c r="J597" s="6">
        <v>2</v>
      </c>
      <c r="K597" s="6"/>
      <c r="L597" s="6"/>
      <c r="M597" s="6"/>
      <c r="N597" s="6"/>
      <c r="O597" s="6"/>
      <c r="P597" s="120" t="s">
        <v>10</v>
      </c>
      <c r="Q597" s="6"/>
    </row>
    <row r="598" spans="1:17" s="109" customFormat="1" ht="30">
      <c r="A598" s="78">
        <v>2177214</v>
      </c>
      <c r="B598" s="199" t="s">
        <v>958</v>
      </c>
      <c r="C598" s="78" t="s">
        <v>21</v>
      </c>
      <c r="D598" s="4" t="s">
        <v>11</v>
      </c>
      <c r="E598" s="79">
        <v>3</v>
      </c>
      <c r="F598" s="11">
        <f>SUM(DistMeetingQuota[[#This Row],[Sep]:[Feb]])</f>
        <v>1</v>
      </c>
      <c r="G598" s="11">
        <f>DistMeetingQuota[[#This Row],[Quota]]-DistMeetingQuota[[#This Row],[Actual]]</f>
        <v>2</v>
      </c>
      <c r="H598" s="80">
        <f>DistMeetingQuota[[#This Row],[Actual]]/DistMeetingQuota[[#This Row],[Quota]]</f>
        <v>0.33333333333333331</v>
      </c>
      <c r="I598" s="78"/>
      <c r="J598" s="6">
        <v>1</v>
      </c>
      <c r="K598" s="6"/>
      <c r="L598" s="6"/>
      <c r="M598" s="6"/>
      <c r="N598" s="6"/>
      <c r="O598" s="6"/>
      <c r="P598" s="120" t="s">
        <v>14</v>
      </c>
      <c r="Q598" s="6"/>
    </row>
    <row r="599" spans="1:17" s="109" customFormat="1" ht="30">
      <c r="A599" s="78">
        <v>2270193</v>
      </c>
      <c r="B599" s="92" t="s">
        <v>564</v>
      </c>
      <c r="C599" s="78" t="s">
        <v>19</v>
      </c>
      <c r="D599" s="4" t="s">
        <v>11</v>
      </c>
      <c r="E599" s="79">
        <v>2</v>
      </c>
      <c r="F599" s="11">
        <f>SUM(DistMeetingQuota[[#This Row],[Sep]:[Feb]])</f>
        <v>0</v>
      </c>
      <c r="G599" s="11">
        <f>DistMeetingQuota[[#This Row],[Quota]]-DistMeetingQuota[[#This Row],[Actual]]</f>
        <v>2</v>
      </c>
      <c r="H599" s="80">
        <f>DistMeetingQuota[[#This Row],[Actual]]/DistMeetingQuota[[#This Row],[Quota]]</f>
        <v>0</v>
      </c>
      <c r="I599" s="78"/>
      <c r="J599" s="6"/>
      <c r="K599" s="6"/>
      <c r="L599" s="6"/>
      <c r="M599" s="6"/>
      <c r="N599" s="6"/>
      <c r="O599" s="6"/>
      <c r="P599" s="120" t="s">
        <v>14</v>
      </c>
      <c r="Q599" s="6"/>
    </row>
    <row r="600" spans="1:17" s="109" customFormat="1" ht="30">
      <c r="A600" s="78">
        <v>2193955</v>
      </c>
      <c r="B600" s="92" t="s">
        <v>565</v>
      </c>
      <c r="C600" s="78" t="s">
        <v>19</v>
      </c>
      <c r="D600" s="4" t="s">
        <v>11</v>
      </c>
      <c r="E600" s="79">
        <v>2</v>
      </c>
      <c r="F600" s="11">
        <f>SUM(DistMeetingQuota[[#This Row],[Sep]:[Feb]])</f>
        <v>0</v>
      </c>
      <c r="G600" s="11">
        <f>DistMeetingQuota[[#This Row],[Quota]]-DistMeetingQuota[[#This Row],[Actual]]</f>
        <v>2</v>
      </c>
      <c r="H600" s="80">
        <f>DistMeetingQuota[[#This Row],[Actual]]/DistMeetingQuota[[#This Row],[Quota]]</f>
        <v>0</v>
      </c>
      <c r="I600" s="78"/>
      <c r="J600" s="6"/>
      <c r="K600" s="6"/>
      <c r="L600" s="6"/>
      <c r="M600" s="6"/>
      <c r="N600" s="6"/>
      <c r="O600" s="6"/>
      <c r="P600" s="120" t="s">
        <v>14</v>
      </c>
      <c r="Q600" s="6"/>
    </row>
    <row r="601" spans="1:17" s="109" customFormat="1" ht="30">
      <c r="A601" s="78">
        <v>2286160</v>
      </c>
      <c r="B601" s="92" t="s">
        <v>566</v>
      </c>
      <c r="C601" s="78" t="s">
        <v>21</v>
      </c>
      <c r="D601" s="4" t="s">
        <v>11</v>
      </c>
      <c r="E601" s="79">
        <v>3</v>
      </c>
      <c r="F601" s="11">
        <f>SUM(DistMeetingQuota[[#This Row],[Sep]:[Feb]])</f>
        <v>0</v>
      </c>
      <c r="G601" s="11">
        <f>DistMeetingQuota[[#This Row],[Quota]]-DistMeetingQuota[[#This Row],[Actual]]</f>
        <v>3</v>
      </c>
      <c r="H601" s="80">
        <f>DistMeetingQuota[[#This Row],[Actual]]/DistMeetingQuota[[#This Row],[Quota]]</f>
        <v>0</v>
      </c>
      <c r="I601" s="78"/>
      <c r="J601" s="6"/>
      <c r="K601" s="6"/>
      <c r="L601" s="6"/>
      <c r="M601" s="6"/>
      <c r="N601" s="6"/>
      <c r="O601" s="6"/>
      <c r="P601" s="120" t="s">
        <v>14</v>
      </c>
      <c r="Q601" s="6"/>
    </row>
    <row r="602" spans="1:17" s="109" customFormat="1" ht="30">
      <c r="A602" s="78">
        <v>2286160</v>
      </c>
      <c r="B602" s="92" t="s">
        <v>566</v>
      </c>
      <c r="C602" s="78" t="s">
        <v>21</v>
      </c>
      <c r="D602" s="4" t="s">
        <v>13</v>
      </c>
      <c r="E602" s="79">
        <v>2</v>
      </c>
      <c r="F602" s="11">
        <f>SUM(DistMeetingQuota[[#This Row],[Sep]:[Feb]])</f>
        <v>2</v>
      </c>
      <c r="G602" s="11">
        <f>DistMeetingQuota[[#This Row],[Quota]]-DistMeetingQuota[[#This Row],[Actual]]</f>
        <v>0</v>
      </c>
      <c r="H602" s="80">
        <f>DistMeetingQuota[[#This Row],[Actual]]/DistMeetingQuota[[#This Row],[Quota]]</f>
        <v>1</v>
      </c>
      <c r="I602" s="78">
        <v>1</v>
      </c>
      <c r="J602" s="6"/>
      <c r="K602" s="6">
        <v>1</v>
      </c>
      <c r="L602" s="6"/>
      <c r="M602" s="6"/>
      <c r="N602" s="6"/>
      <c r="O602" s="6"/>
      <c r="P602" s="120" t="s">
        <v>14</v>
      </c>
      <c r="Q602" s="6"/>
    </row>
    <row r="603" spans="1:17" s="109" customFormat="1">
      <c r="A603" s="78">
        <v>2380942</v>
      </c>
      <c r="B603" s="92" t="s">
        <v>567</v>
      </c>
      <c r="C603" s="78" t="s">
        <v>19</v>
      </c>
      <c r="D603" s="4" t="s">
        <v>11</v>
      </c>
      <c r="E603" s="79">
        <v>2</v>
      </c>
      <c r="F603" s="11">
        <f>SUM(DistMeetingQuota[[#This Row],[Sep]:[Feb]])</f>
        <v>0</v>
      </c>
      <c r="G603" s="11">
        <f>DistMeetingQuota[[#This Row],[Quota]]-DistMeetingQuota[[#This Row],[Actual]]</f>
        <v>2</v>
      </c>
      <c r="H603" s="80">
        <f>DistMeetingQuota[[#This Row],[Actual]]/DistMeetingQuota[[#This Row],[Quota]]</f>
        <v>0</v>
      </c>
      <c r="I603" s="78"/>
      <c r="J603" s="6"/>
      <c r="K603" s="6"/>
      <c r="L603" s="6"/>
      <c r="M603" s="6"/>
      <c r="N603" s="6"/>
      <c r="O603" s="6"/>
      <c r="P603" s="120" t="s">
        <v>62</v>
      </c>
      <c r="Q603" s="6"/>
    </row>
    <row r="604" spans="1:17" s="109" customFormat="1" ht="30">
      <c r="A604" s="78">
        <v>2287200</v>
      </c>
      <c r="B604" s="92" t="s">
        <v>568</v>
      </c>
      <c r="C604" s="78" t="s">
        <v>19</v>
      </c>
      <c r="D604" s="4" t="s">
        <v>11</v>
      </c>
      <c r="E604" s="79">
        <v>2</v>
      </c>
      <c r="F604" s="11">
        <f>SUM(DistMeetingQuota[[#This Row],[Sep]:[Feb]])</f>
        <v>0</v>
      </c>
      <c r="G604" s="11">
        <f>DistMeetingQuota[[#This Row],[Quota]]-DistMeetingQuota[[#This Row],[Actual]]</f>
        <v>2</v>
      </c>
      <c r="H604" s="80">
        <f>DistMeetingQuota[[#This Row],[Actual]]/DistMeetingQuota[[#This Row],[Quota]]</f>
        <v>0</v>
      </c>
      <c r="I604" s="78"/>
      <c r="J604" s="6"/>
      <c r="K604" s="6"/>
      <c r="L604" s="6"/>
      <c r="M604" s="6"/>
      <c r="N604" s="6"/>
      <c r="O604" s="6"/>
      <c r="P604" s="120" t="s">
        <v>62</v>
      </c>
      <c r="Q604" s="6"/>
    </row>
    <row r="605" spans="1:17" s="109" customFormat="1" ht="30">
      <c r="A605" s="78">
        <v>2122394</v>
      </c>
      <c r="B605" s="199" t="s">
        <v>424</v>
      </c>
      <c r="C605" s="78" t="s">
        <v>19</v>
      </c>
      <c r="D605" s="4" t="s">
        <v>11</v>
      </c>
      <c r="E605" s="79">
        <v>2</v>
      </c>
      <c r="F605" s="11">
        <f>SUM(DistMeetingQuota[[#This Row],[Sep]:[Feb]])</f>
        <v>2</v>
      </c>
      <c r="G605" s="11">
        <f>DistMeetingQuota[[#This Row],[Quota]]-DistMeetingQuota[[#This Row],[Actual]]</f>
        <v>0</v>
      </c>
      <c r="H605" s="80">
        <f>DistMeetingQuota[[#This Row],[Actual]]/DistMeetingQuota[[#This Row],[Quota]]</f>
        <v>1</v>
      </c>
      <c r="I605" s="78">
        <v>2</v>
      </c>
      <c r="J605" s="6"/>
      <c r="K605" s="6"/>
      <c r="L605" s="6"/>
      <c r="M605" s="6"/>
      <c r="N605" s="6"/>
      <c r="O605" s="6"/>
      <c r="P605" s="120" t="s">
        <v>10</v>
      </c>
      <c r="Q605" s="6"/>
    </row>
    <row r="606" spans="1:17" s="109" customFormat="1" ht="30">
      <c r="A606" s="78">
        <v>2336086</v>
      </c>
      <c r="B606" s="92" t="s">
        <v>569</v>
      </c>
      <c r="C606" s="78" t="s">
        <v>19</v>
      </c>
      <c r="D606" s="4" t="s">
        <v>5</v>
      </c>
      <c r="E606" s="79">
        <v>24</v>
      </c>
      <c r="F606" s="11">
        <f>SUM(DistMeetingQuota[[#This Row],[Sep]:[Feb]])</f>
        <v>24</v>
      </c>
      <c r="G606" s="11">
        <f>DistMeetingQuota[[#This Row],[Quota]]-DistMeetingQuota[[#This Row],[Actual]]</f>
        <v>0</v>
      </c>
      <c r="H606" s="80">
        <f>DistMeetingQuota[[#This Row],[Actual]]/DistMeetingQuota[[#This Row],[Quota]]</f>
        <v>1</v>
      </c>
      <c r="I606" s="78">
        <v>4</v>
      </c>
      <c r="J606" s="6">
        <v>4</v>
      </c>
      <c r="K606" s="6">
        <v>4</v>
      </c>
      <c r="L606" s="6">
        <v>4</v>
      </c>
      <c r="M606" s="6">
        <v>4</v>
      </c>
      <c r="N606" s="6">
        <v>4</v>
      </c>
      <c r="O606" s="6"/>
      <c r="P606" s="120" t="s">
        <v>59</v>
      </c>
      <c r="Q606" s="6"/>
    </row>
    <row r="607" spans="1:17" s="109" customFormat="1" ht="30">
      <c r="A607" s="78">
        <v>2336086</v>
      </c>
      <c r="B607" s="92" t="s">
        <v>569</v>
      </c>
      <c r="C607" s="78" t="s">
        <v>19</v>
      </c>
      <c r="D607" s="4" t="s">
        <v>11</v>
      </c>
      <c r="E607" s="79">
        <v>2</v>
      </c>
      <c r="F607" s="11">
        <f>SUM(DistMeetingQuota[[#This Row],[Sep]:[Feb]])</f>
        <v>0</v>
      </c>
      <c r="G607" s="11">
        <f>DistMeetingQuota[[#This Row],[Quota]]-DistMeetingQuota[[#This Row],[Actual]]</f>
        <v>2</v>
      </c>
      <c r="H607" s="80">
        <f>DistMeetingQuota[[#This Row],[Actual]]/DistMeetingQuota[[#This Row],[Quota]]</f>
        <v>0</v>
      </c>
      <c r="I607" s="78"/>
      <c r="J607" s="6"/>
      <c r="K607" s="6"/>
      <c r="L607" s="6"/>
      <c r="M607" s="6"/>
      <c r="N607" s="6"/>
      <c r="O607" s="6"/>
      <c r="P607" s="120" t="s">
        <v>59</v>
      </c>
      <c r="Q607" s="6"/>
    </row>
    <row r="608" spans="1:17" s="109" customFormat="1" ht="30">
      <c r="A608" s="78">
        <v>2309288</v>
      </c>
      <c r="B608" s="92" t="s">
        <v>570</v>
      </c>
      <c r="C608" s="78" t="s">
        <v>19</v>
      </c>
      <c r="D608" s="4" t="s">
        <v>11</v>
      </c>
      <c r="E608" s="79">
        <v>2</v>
      </c>
      <c r="F608" s="11">
        <f>SUM(DistMeetingQuota[[#This Row],[Sep]:[Feb]])</f>
        <v>0</v>
      </c>
      <c r="G608" s="11">
        <f>DistMeetingQuota[[#This Row],[Quota]]-DistMeetingQuota[[#This Row],[Actual]]</f>
        <v>2</v>
      </c>
      <c r="H608" s="80">
        <f>DistMeetingQuota[[#This Row],[Actual]]/DistMeetingQuota[[#This Row],[Quota]]</f>
        <v>0</v>
      </c>
      <c r="I608" s="78"/>
      <c r="J608" s="6"/>
      <c r="K608" s="6"/>
      <c r="L608" s="6"/>
      <c r="M608" s="6"/>
      <c r="N608" s="6"/>
      <c r="O608" s="6"/>
      <c r="P608" s="120" t="s">
        <v>14</v>
      </c>
      <c r="Q608" s="6"/>
    </row>
    <row r="609" spans="1:17" s="109" customFormat="1" ht="30">
      <c r="A609" s="78">
        <v>2198857</v>
      </c>
      <c r="B609" s="92" t="s">
        <v>571</v>
      </c>
      <c r="C609" s="78" t="s">
        <v>19</v>
      </c>
      <c r="D609" s="4" t="s">
        <v>11</v>
      </c>
      <c r="E609" s="79">
        <v>2</v>
      </c>
      <c r="F609" s="11">
        <f>SUM(DistMeetingQuota[[#This Row],[Sep]:[Feb]])</f>
        <v>0</v>
      </c>
      <c r="G609" s="11">
        <f>DistMeetingQuota[[#This Row],[Quota]]-DistMeetingQuota[[#This Row],[Actual]]</f>
        <v>2</v>
      </c>
      <c r="H609" s="80">
        <f>DistMeetingQuota[[#This Row],[Actual]]/DistMeetingQuota[[#This Row],[Quota]]</f>
        <v>0</v>
      </c>
      <c r="I609" s="78"/>
      <c r="J609" s="6"/>
      <c r="K609" s="6"/>
      <c r="L609" s="6"/>
      <c r="M609" s="6"/>
      <c r="N609" s="6"/>
      <c r="O609" s="6"/>
      <c r="P609" s="120" t="s">
        <v>14</v>
      </c>
      <c r="Q609" s="6"/>
    </row>
    <row r="610" spans="1:17" s="109" customFormat="1" ht="30">
      <c r="A610" s="78">
        <v>2070763</v>
      </c>
      <c r="B610" s="92" t="s">
        <v>572</v>
      </c>
      <c r="C610" s="78" t="s">
        <v>19</v>
      </c>
      <c r="D610" s="4" t="s">
        <v>5</v>
      </c>
      <c r="E610" s="79">
        <v>24</v>
      </c>
      <c r="F610" s="11">
        <f>SUM(DistMeetingQuota[[#This Row],[Sep]:[Feb]])</f>
        <v>24</v>
      </c>
      <c r="G610" s="11">
        <f>DistMeetingQuota[[#This Row],[Quota]]-DistMeetingQuota[[#This Row],[Actual]]</f>
        <v>0</v>
      </c>
      <c r="H610" s="80">
        <f>DistMeetingQuota[[#This Row],[Actual]]/DistMeetingQuota[[#This Row],[Quota]]</f>
        <v>1</v>
      </c>
      <c r="I610" s="78">
        <v>4</v>
      </c>
      <c r="J610" s="6">
        <v>4</v>
      </c>
      <c r="K610" s="6">
        <v>8</v>
      </c>
      <c r="L610" s="6">
        <v>4</v>
      </c>
      <c r="M610" s="6"/>
      <c r="N610" s="6">
        <v>4</v>
      </c>
      <c r="O610" s="6"/>
      <c r="P610" s="120" t="s">
        <v>4</v>
      </c>
      <c r="Q610" s="6"/>
    </row>
    <row r="611" spans="1:17" s="109" customFormat="1" ht="30">
      <c r="A611" s="4">
        <v>2070763</v>
      </c>
      <c r="B611" s="5" t="s">
        <v>572</v>
      </c>
      <c r="C611" s="4" t="s">
        <v>19</v>
      </c>
      <c r="D611" s="4" t="s">
        <v>11</v>
      </c>
      <c r="E611" s="53">
        <v>2</v>
      </c>
      <c r="F611" s="11">
        <f>SUM(DistMeetingQuota[[#This Row],[Sep]:[Feb]])</f>
        <v>2</v>
      </c>
      <c r="G611" s="11">
        <f>DistMeetingQuota[[#This Row],[Quota]]-DistMeetingQuota[[#This Row],[Actual]]</f>
        <v>0</v>
      </c>
      <c r="H611" s="49">
        <f>DistMeetingQuota[[#This Row],[Actual]]/DistMeetingQuota[[#This Row],[Quota]]</f>
        <v>1</v>
      </c>
      <c r="I611" s="4">
        <v>1</v>
      </c>
      <c r="J611" s="2"/>
      <c r="K611" s="2"/>
      <c r="L611" s="2"/>
      <c r="M611" s="2">
        <v>1</v>
      </c>
      <c r="N611" s="2"/>
      <c r="O611" s="2"/>
      <c r="P611" s="130" t="s">
        <v>4</v>
      </c>
      <c r="Q611" s="2"/>
    </row>
    <row r="612" spans="1:17" s="109" customFormat="1" ht="30">
      <c r="A612" s="78">
        <v>2071968</v>
      </c>
      <c r="B612" s="92" t="s">
        <v>574</v>
      </c>
      <c r="C612" s="78" t="s">
        <v>19</v>
      </c>
      <c r="D612" s="4" t="s">
        <v>11</v>
      </c>
      <c r="E612" s="79">
        <v>2</v>
      </c>
      <c r="F612" s="11">
        <f>SUM(DistMeetingQuota[[#This Row],[Sep]:[Feb]])</f>
        <v>0</v>
      </c>
      <c r="G612" s="11">
        <f>DistMeetingQuota[[#This Row],[Quota]]-DistMeetingQuota[[#This Row],[Actual]]</f>
        <v>2</v>
      </c>
      <c r="H612" s="80">
        <f>DistMeetingQuota[[#This Row],[Actual]]/DistMeetingQuota[[#This Row],[Quota]]</f>
        <v>0</v>
      </c>
      <c r="I612" s="78"/>
      <c r="J612" s="6"/>
      <c r="K612" s="6"/>
      <c r="L612" s="6"/>
      <c r="M612" s="6"/>
      <c r="N612" s="6"/>
      <c r="O612" s="6"/>
      <c r="P612" s="120" t="s">
        <v>14</v>
      </c>
      <c r="Q612" s="6"/>
    </row>
    <row r="613" spans="1:17" s="109" customFormat="1" ht="30">
      <c r="A613" s="78">
        <v>2203642</v>
      </c>
      <c r="B613" s="92" t="s">
        <v>575</v>
      </c>
      <c r="C613" s="78" t="s">
        <v>19</v>
      </c>
      <c r="D613" s="4" t="s">
        <v>11</v>
      </c>
      <c r="E613" s="79">
        <v>2</v>
      </c>
      <c r="F613" s="11">
        <f>SUM(DistMeetingQuota[[#This Row],[Sep]:[Feb]])</f>
        <v>0</v>
      </c>
      <c r="G613" s="11">
        <f>DistMeetingQuota[[#This Row],[Quota]]-DistMeetingQuota[[#This Row],[Actual]]</f>
        <v>2</v>
      </c>
      <c r="H613" s="80">
        <f>DistMeetingQuota[[#This Row],[Actual]]/DistMeetingQuota[[#This Row],[Quota]]</f>
        <v>0</v>
      </c>
      <c r="I613" s="78"/>
      <c r="J613" s="6"/>
      <c r="K613" s="6"/>
      <c r="L613" s="6"/>
      <c r="M613" s="6"/>
      <c r="N613" s="6"/>
      <c r="O613" s="6"/>
      <c r="P613" s="120" t="s">
        <v>14</v>
      </c>
      <c r="Q613" s="6"/>
    </row>
    <row r="614" spans="1:17" s="109" customFormat="1" ht="30">
      <c r="A614" s="78">
        <v>2135925</v>
      </c>
      <c r="B614" s="92" t="s">
        <v>576</v>
      </c>
      <c r="C614" s="78" t="s">
        <v>19</v>
      </c>
      <c r="D614" s="4" t="s">
        <v>11</v>
      </c>
      <c r="E614" s="79">
        <v>2</v>
      </c>
      <c r="F614" s="11">
        <f>SUM(DistMeetingQuota[[#This Row],[Sep]:[Feb]])</f>
        <v>0</v>
      </c>
      <c r="G614" s="11">
        <f>DistMeetingQuota[[#This Row],[Quota]]-DistMeetingQuota[[#This Row],[Actual]]</f>
        <v>2</v>
      </c>
      <c r="H614" s="80">
        <f>DistMeetingQuota[[#This Row],[Actual]]/DistMeetingQuota[[#This Row],[Quota]]</f>
        <v>0</v>
      </c>
      <c r="I614" s="78"/>
      <c r="J614" s="6"/>
      <c r="K614" s="6"/>
      <c r="L614" s="6"/>
      <c r="M614" s="6"/>
      <c r="N614" s="6"/>
      <c r="O614" s="6"/>
      <c r="P614" s="120" t="s">
        <v>14</v>
      </c>
      <c r="Q614" s="6"/>
    </row>
    <row r="615" spans="1:17" s="109" customFormat="1" ht="30">
      <c r="A615" s="78">
        <v>2078273</v>
      </c>
      <c r="B615" s="92" t="s">
        <v>578</v>
      </c>
      <c r="C615" s="78" t="s">
        <v>19</v>
      </c>
      <c r="D615" s="4" t="s">
        <v>11</v>
      </c>
      <c r="E615" s="79">
        <v>2</v>
      </c>
      <c r="F615" s="11">
        <f>SUM(DistMeetingQuota[[#This Row],[Sep]:[Feb]])</f>
        <v>2</v>
      </c>
      <c r="G615" s="11">
        <f>DistMeetingQuota[[#This Row],[Quota]]-DistMeetingQuota[[#This Row],[Actual]]</f>
        <v>0</v>
      </c>
      <c r="H615" s="80">
        <f>DistMeetingQuota[[#This Row],[Actual]]/DistMeetingQuota[[#This Row],[Quota]]</f>
        <v>1</v>
      </c>
      <c r="I615" s="78"/>
      <c r="J615" s="187">
        <v>1</v>
      </c>
      <c r="K615" s="6"/>
      <c r="L615" s="6"/>
      <c r="M615" s="6">
        <v>1</v>
      </c>
      <c r="N615" s="6"/>
      <c r="O615" s="6"/>
      <c r="P615" s="120" t="s">
        <v>56</v>
      </c>
      <c r="Q615" s="6"/>
    </row>
    <row r="616" spans="1:17" s="109" customFormat="1">
      <c r="A616" s="78">
        <v>2024141</v>
      </c>
      <c r="B616" s="92" t="s">
        <v>579</v>
      </c>
      <c r="C616" s="78" t="s">
        <v>19</v>
      </c>
      <c r="D616" s="4" t="s">
        <v>11</v>
      </c>
      <c r="E616" s="79">
        <v>2</v>
      </c>
      <c r="F616" s="11">
        <f>SUM(DistMeetingQuota[[#This Row],[Sep]:[Feb]])</f>
        <v>2</v>
      </c>
      <c r="G616" s="11">
        <f>DistMeetingQuota[[#This Row],[Quota]]-DistMeetingQuota[[#This Row],[Actual]]</f>
        <v>0</v>
      </c>
      <c r="H616" s="80">
        <f>DistMeetingQuota[[#This Row],[Actual]]/DistMeetingQuota[[#This Row],[Quota]]</f>
        <v>1</v>
      </c>
      <c r="I616" s="78"/>
      <c r="J616" s="6">
        <v>1</v>
      </c>
      <c r="K616" s="6">
        <v>1</v>
      </c>
      <c r="L616" s="6"/>
      <c r="M616" s="6"/>
      <c r="N616" s="6"/>
      <c r="O616" s="6"/>
      <c r="P616" s="120" t="s">
        <v>10</v>
      </c>
      <c r="Q616" s="6"/>
    </row>
    <row r="617" spans="1:17" s="109" customFormat="1" ht="30">
      <c r="A617" s="78">
        <v>2219667</v>
      </c>
      <c r="B617" s="92" t="s">
        <v>580</v>
      </c>
      <c r="C617" s="4" t="s">
        <v>19</v>
      </c>
      <c r="D617" s="4" t="s">
        <v>5</v>
      </c>
      <c r="E617" s="53">
        <v>24</v>
      </c>
      <c r="F617" s="11">
        <f>SUM(DistMeetingQuota[[#This Row],[Sep]:[Feb]])</f>
        <v>4</v>
      </c>
      <c r="G617" s="11">
        <f>DistMeetingQuota[[#This Row],[Quota]]-DistMeetingQuota[[#This Row],[Actual]]</f>
        <v>20</v>
      </c>
      <c r="H617" s="49">
        <f>DistMeetingQuota[[#This Row],[Actual]]/DistMeetingQuota[[#This Row],[Quota]]</f>
        <v>0.16666666666666666</v>
      </c>
      <c r="I617" s="4"/>
      <c r="J617" s="2"/>
      <c r="K617" s="2"/>
      <c r="L617" s="2">
        <v>4</v>
      </c>
      <c r="M617" s="2"/>
      <c r="N617" s="2"/>
      <c r="O617" s="2"/>
      <c r="P617" s="120" t="s">
        <v>55</v>
      </c>
      <c r="Q617" s="2"/>
    </row>
    <row r="618" spans="1:17" s="109" customFormat="1" ht="30">
      <c r="A618" s="78">
        <v>2219667</v>
      </c>
      <c r="B618" s="92" t="s">
        <v>580</v>
      </c>
      <c r="C618" s="78" t="s">
        <v>19</v>
      </c>
      <c r="D618" s="4" t="s">
        <v>11</v>
      </c>
      <c r="E618" s="79">
        <v>2</v>
      </c>
      <c r="F618" s="11">
        <f>SUM(DistMeetingQuota[[#This Row],[Sep]:[Feb]])</f>
        <v>1</v>
      </c>
      <c r="G618" s="11">
        <f>DistMeetingQuota[[#This Row],[Quota]]-DistMeetingQuota[[#This Row],[Actual]]</f>
        <v>1</v>
      </c>
      <c r="H618" s="80">
        <f>DistMeetingQuota[[#This Row],[Actual]]/DistMeetingQuota[[#This Row],[Quota]]</f>
        <v>0.5</v>
      </c>
      <c r="I618" s="78"/>
      <c r="J618" s="6"/>
      <c r="K618" s="6"/>
      <c r="L618" s="6">
        <v>1</v>
      </c>
      <c r="M618" s="6"/>
      <c r="N618" s="6"/>
      <c r="O618" s="6"/>
      <c r="P618" s="120" t="s">
        <v>55</v>
      </c>
      <c r="Q618" s="6"/>
    </row>
    <row r="619" spans="1:17" s="109" customFormat="1" ht="30">
      <c r="A619" s="78">
        <v>2070010</v>
      </c>
      <c r="B619" s="92" t="s">
        <v>581</v>
      </c>
      <c r="C619" s="78" t="s">
        <v>19</v>
      </c>
      <c r="D619" s="4" t="s">
        <v>11</v>
      </c>
      <c r="E619" s="79">
        <v>2</v>
      </c>
      <c r="F619" s="11">
        <f>SUM(DistMeetingQuota[[#This Row],[Sep]:[Feb]])</f>
        <v>0</v>
      </c>
      <c r="G619" s="11">
        <f>DistMeetingQuota[[#This Row],[Quota]]-DistMeetingQuota[[#This Row],[Actual]]</f>
        <v>2</v>
      </c>
      <c r="H619" s="80">
        <f>DistMeetingQuota[[#This Row],[Actual]]/DistMeetingQuota[[#This Row],[Quota]]</f>
        <v>0</v>
      </c>
      <c r="I619" s="78"/>
      <c r="J619" s="6"/>
      <c r="K619" s="6"/>
      <c r="L619" s="6"/>
      <c r="M619" s="6"/>
      <c r="N619" s="6"/>
      <c r="O619" s="6"/>
      <c r="P619" s="120" t="s">
        <v>14</v>
      </c>
      <c r="Q619" s="6"/>
    </row>
    <row r="620" spans="1:17" s="109" customFormat="1" ht="30">
      <c r="A620" s="78">
        <v>2138201</v>
      </c>
      <c r="B620" s="92" t="s">
        <v>582</v>
      </c>
      <c r="C620" s="78" t="s">
        <v>19</v>
      </c>
      <c r="D620" s="4" t="s">
        <v>11</v>
      </c>
      <c r="E620" s="79">
        <v>2</v>
      </c>
      <c r="F620" s="11">
        <f>SUM(DistMeetingQuota[[#This Row],[Sep]:[Feb]])</f>
        <v>0</v>
      </c>
      <c r="G620" s="11">
        <f>DistMeetingQuota[[#This Row],[Quota]]-DistMeetingQuota[[#This Row],[Actual]]</f>
        <v>2</v>
      </c>
      <c r="H620" s="80">
        <f>DistMeetingQuota[[#This Row],[Actual]]/DistMeetingQuota[[#This Row],[Quota]]</f>
        <v>0</v>
      </c>
      <c r="I620" s="78"/>
      <c r="J620" s="6"/>
      <c r="K620" s="6"/>
      <c r="L620" s="6"/>
      <c r="M620" s="6"/>
      <c r="N620" s="6"/>
      <c r="O620" s="6"/>
      <c r="P620" s="120" t="s">
        <v>14</v>
      </c>
      <c r="Q620" s="6"/>
    </row>
    <row r="621" spans="1:17" s="109" customFormat="1" ht="30">
      <c r="A621" s="78">
        <v>2188446</v>
      </c>
      <c r="B621" s="92" t="s">
        <v>583</v>
      </c>
      <c r="C621" s="78" t="s">
        <v>19</v>
      </c>
      <c r="D621" s="4" t="s">
        <v>11</v>
      </c>
      <c r="E621" s="79">
        <v>2</v>
      </c>
      <c r="F621" s="11">
        <f>SUM(DistMeetingQuota[[#This Row],[Sep]:[Feb]])</f>
        <v>0</v>
      </c>
      <c r="G621" s="11">
        <f>DistMeetingQuota[[#This Row],[Quota]]-DistMeetingQuota[[#This Row],[Actual]]</f>
        <v>2</v>
      </c>
      <c r="H621" s="80">
        <f>DistMeetingQuota[[#This Row],[Actual]]/DistMeetingQuota[[#This Row],[Quota]]</f>
        <v>0</v>
      </c>
      <c r="I621" s="78"/>
      <c r="J621" s="6"/>
      <c r="K621" s="6"/>
      <c r="L621" s="6"/>
      <c r="M621" s="6"/>
      <c r="N621" s="6"/>
      <c r="O621" s="6"/>
      <c r="P621" s="120" t="s">
        <v>14</v>
      </c>
      <c r="Q621" s="6"/>
    </row>
    <row r="622" spans="1:17" s="109" customFormat="1" ht="30">
      <c r="A622" s="78">
        <v>2193926</v>
      </c>
      <c r="B622" s="92" t="s">
        <v>584</v>
      </c>
      <c r="C622" s="78" t="s">
        <v>19</v>
      </c>
      <c r="D622" s="4" t="s">
        <v>5</v>
      </c>
      <c r="E622" s="79">
        <v>24</v>
      </c>
      <c r="F622" s="11">
        <f>SUM(DistMeetingQuota[[#This Row],[Sep]:[Feb]])</f>
        <v>0</v>
      </c>
      <c r="G622" s="11">
        <f>DistMeetingQuota[[#This Row],[Quota]]-DistMeetingQuota[[#This Row],[Actual]]</f>
        <v>24</v>
      </c>
      <c r="H622" s="80">
        <f>DistMeetingQuota[[#This Row],[Actual]]/DistMeetingQuota[[#This Row],[Quota]]</f>
        <v>0</v>
      </c>
      <c r="I622" s="78"/>
      <c r="J622" s="6"/>
      <c r="K622" s="6"/>
      <c r="L622" s="6"/>
      <c r="M622" s="6"/>
      <c r="N622" s="6"/>
      <c r="O622" s="6"/>
      <c r="P622" s="120" t="s">
        <v>59</v>
      </c>
      <c r="Q622" s="6"/>
    </row>
    <row r="623" spans="1:17" s="109" customFormat="1" ht="30">
      <c r="A623" s="78">
        <v>2193926</v>
      </c>
      <c r="B623" s="92" t="s">
        <v>584</v>
      </c>
      <c r="C623" s="78" t="s">
        <v>19</v>
      </c>
      <c r="D623" s="4" t="s">
        <v>11</v>
      </c>
      <c r="E623" s="79">
        <v>2</v>
      </c>
      <c r="F623" s="11">
        <f>SUM(DistMeetingQuota[[#This Row],[Sep]:[Feb]])</f>
        <v>0</v>
      </c>
      <c r="G623" s="11">
        <f>DistMeetingQuota[[#This Row],[Quota]]-DistMeetingQuota[[#This Row],[Actual]]</f>
        <v>2</v>
      </c>
      <c r="H623" s="80">
        <f>DistMeetingQuota[[#This Row],[Actual]]/DistMeetingQuota[[#This Row],[Quota]]</f>
        <v>0</v>
      </c>
      <c r="I623" s="78"/>
      <c r="J623" s="6"/>
      <c r="K623" s="6"/>
      <c r="L623" s="6"/>
      <c r="M623" s="6"/>
      <c r="N623" s="6"/>
      <c r="O623" s="6"/>
      <c r="P623" s="120" t="s">
        <v>59</v>
      </c>
      <c r="Q623" s="6"/>
    </row>
    <row r="624" spans="1:17" s="109" customFormat="1" ht="30">
      <c r="A624" s="78">
        <v>2154706</v>
      </c>
      <c r="B624" s="92" t="s">
        <v>585</v>
      </c>
      <c r="C624" s="78" t="s">
        <v>19</v>
      </c>
      <c r="D624" s="4" t="s">
        <v>5</v>
      </c>
      <c r="E624" s="79">
        <v>24</v>
      </c>
      <c r="F624" s="11">
        <f>SUM(DistMeetingQuota[[#This Row],[Sep]:[Feb]])</f>
        <v>24</v>
      </c>
      <c r="G624" s="11">
        <f>DistMeetingQuota[[#This Row],[Quota]]-DistMeetingQuota[[#This Row],[Actual]]</f>
        <v>0</v>
      </c>
      <c r="H624" s="80">
        <f>DistMeetingQuota[[#This Row],[Actual]]/DistMeetingQuota[[#This Row],[Quota]]</f>
        <v>1</v>
      </c>
      <c r="I624" s="78">
        <v>4</v>
      </c>
      <c r="J624" s="6">
        <v>4</v>
      </c>
      <c r="K624" s="6">
        <v>4</v>
      </c>
      <c r="L624" s="6">
        <v>4</v>
      </c>
      <c r="M624" s="6">
        <v>4</v>
      </c>
      <c r="N624" s="6">
        <v>4</v>
      </c>
      <c r="O624" s="6"/>
      <c r="P624" s="120" t="s">
        <v>476</v>
      </c>
      <c r="Q624" s="6"/>
    </row>
    <row r="625" spans="1:17" s="109" customFormat="1" ht="30">
      <c r="A625" s="78">
        <v>2154706</v>
      </c>
      <c r="B625" s="92" t="s">
        <v>585</v>
      </c>
      <c r="C625" s="78" t="s">
        <v>19</v>
      </c>
      <c r="D625" s="4" t="s">
        <v>11</v>
      </c>
      <c r="E625" s="79">
        <v>2</v>
      </c>
      <c r="F625" s="11">
        <f>SUM(DistMeetingQuota[[#This Row],[Sep]:[Feb]])</f>
        <v>0</v>
      </c>
      <c r="G625" s="11">
        <f>DistMeetingQuota[[#This Row],[Quota]]-DistMeetingQuota[[#This Row],[Actual]]</f>
        <v>2</v>
      </c>
      <c r="H625" s="80">
        <f>DistMeetingQuota[[#This Row],[Actual]]/DistMeetingQuota[[#This Row],[Quota]]</f>
        <v>0</v>
      </c>
      <c r="I625" s="78"/>
      <c r="J625" s="6"/>
      <c r="K625" s="6"/>
      <c r="L625" s="6"/>
      <c r="M625" s="6"/>
      <c r="N625" s="6"/>
      <c r="O625" s="6"/>
      <c r="P625" s="120" t="s">
        <v>476</v>
      </c>
      <c r="Q625" s="6"/>
    </row>
    <row r="626" spans="1:17" s="109" customFormat="1" ht="30">
      <c r="A626" s="78">
        <v>2157186</v>
      </c>
      <c r="B626" s="92" t="s">
        <v>586</v>
      </c>
      <c r="C626" s="78" t="s">
        <v>19</v>
      </c>
      <c r="D626" s="4" t="s">
        <v>5</v>
      </c>
      <c r="E626" s="79">
        <v>24</v>
      </c>
      <c r="F626" s="11">
        <f>SUM(DistMeetingQuota[[#This Row],[Sep]:[Feb]])</f>
        <v>0</v>
      </c>
      <c r="G626" s="11">
        <f>DistMeetingQuota[[#This Row],[Quota]]-DistMeetingQuota[[#This Row],[Actual]]</f>
        <v>24</v>
      </c>
      <c r="H626" s="80">
        <f>DistMeetingQuota[[#This Row],[Actual]]/DistMeetingQuota[[#This Row],[Quota]]</f>
        <v>0</v>
      </c>
      <c r="I626" s="78"/>
      <c r="J626" s="6"/>
      <c r="K626" s="6"/>
      <c r="L626" s="6"/>
      <c r="M626" s="6"/>
      <c r="N626" s="6"/>
      <c r="O626" s="6"/>
      <c r="P626" s="120" t="s">
        <v>66</v>
      </c>
      <c r="Q626" s="6"/>
    </row>
    <row r="627" spans="1:17" s="109" customFormat="1" ht="30">
      <c r="A627" s="78">
        <v>2157186</v>
      </c>
      <c r="B627" s="92" t="s">
        <v>586</v>
      </c>
      <c r="C627" s="78" t="s">
        <v>19</v>
      </c>
      <c r="D627" s="4" t="s">
        <v>11</v>
      </c>
      <c r="E627" s="79">
        <v>2</v>
      </c>
      <c r="F627" s="11">
        <f>SUM(DistMeetingQuota[[#This Row],[Sep]:[Feb]])</f>
        <v>0</v>
      </c>
      <c r="G627" s="11">
        <f>DistMeetingQuota[[#This Row],[Quota]]-DistMeetingQuota[[#This Row],[Actual]]</f>
        <v>2</v>
      </c>
      <c r="H627" s="80">
        <f>DistMeetingQuota[[#This Row],[Actual]]/DistMeetingQuota[[#This Row],[Quota]]</f>
        <v>0</v>
      </c>
      <c r="I627" s="78"/>
      <c r="J627" s="6"/>
      <c r="K627" s="6"/>
      <c r="L627" s="6"/>
      <c r="M627" s="6"/>
      <c r="N627" s="6"/>
      <c r="O627" s="6"/>
      <c r="P627" s="120" t="s">
        <v>66</v>
      </c>
      <c r="Q627" s="6"/>
    </row>
    <row r="628" spans="1:17" s="109" customFormat="1">
      <c r="A628" s="78">
        <v>2348877</v>
      </c>
      <c r="B628" s="92" t="s">
        <v>587</v>
      </c>
      <c r="C628" s="78" t="s">
        <v>19</v>
      </c>
      <c r="D628" s="4" t="s">
        <v>11</v>
      </c>
      <c r="E628" s="79">
        <v>2</v>
      </c>
      <c r="F628" s="11">
        <f>SUM(DistMeetingQuota[[#This Row],[Sep]:[Feb]])</f>
        <v>0</v>
      </c>
      <c r="G628" s="11">
        <f>DistMeetingQuota[[#This Row],[Quota]]-DistMeetingQuota[[#This Row],[Actual]]</f>
        <v>2</v>
      </c>
      <c r="H628" s="80">
        <f>DistMeetingQuota[[#This Row],[Actual]]/DistMeetingQuota[[#This Row],[Quota]]</f>
        <v>0</v>
      </c>
      <c r="I628" s="78"/>
      <c r="J628" s="6"/>
      <c r="K628" s="6"/>
      <c r="L628" s="6"/>
      <c r="M628" s="6"/>
      <c r="N628" s="6"/>
      <c r="O628" s="6"/>
      <c r="P628" s="120" t="s">
        <v>14</v>
      </c>
      <c r="Q628" s="6"/>
    </row>
    <row r="629" spans="1:17" s="109" customFormat="1" ht="30">
      <c r="A629" s="78">
        <v>2225507</v>
      </c>
      <c r="B629" s="92" t="s">
        <v>588</v>
      </c>
      <c r="C629" s="78" t="s">
        <v>19</v>
      </c>
      <c r="D629" s="4" t="s">
        <v>5</v>
      </c>
      <c r="E629" s="79">
        <v>24</v>
      </c>
      <c r="F629" s="11">
        <f>SUM(DistMeetingQuota[[#This Row],[Sep]:[Feb]])</f>
        <v>0</v>
      </c>
      <c r="G629" s="11">
        <f>DistMeetingQuota[[#This Row],[Quota]]-DistMeetingQuota[[#This Row],[Actual]]</f>
        <v>24</v>
      </c>
      <c r="H629" s="80">
        <f>DistMeetingQuota[[#This Row],[Actual]]/DistMeetingQuota[[#This Row],[Quota]]</f>
        <v>0</v>
      </c>
      <c r="I629" s="78"/>
      <c r="J629" s="6"/>
      <c r="K629" s="6"/>
      <c r="L629" s="6"/>
      <c r="M629" s="6"/>
      <c r="N629" s="6"/>
      <c r="O629" s="6"/>
      <c r="P629" s="120" t="s">
        <v>61</v>
      </c>
      <c r="Q629" s="6"/>
    </row>
    <row r="630" spans="1:17" s="109" customFormat="1" ht="30">
      <c r="A630" s="78">
        <v>2225507</v>
      </c>
      <c r="B630" s="92" t="s">
        <v>588</v>
      </c>
      <c r="C630" s="78" t="s">
        <v>19</v>
      </c>
      <c r="D630" s="4" t="s">
        <v>11</v>
      </c>
      <c r="E630" s="79">
        <v>2</v>
      </c>
      <c r="F630" s="11">
        <f>SUM(DistMeetingQuota[[#This Row],[Sep]:[Feb]])</f>
        <v>0</v>
      </c>
      <c r="G630" s="11">
        <f>DistMeetingQuota[[#This Row],[Quota]]-DistMeetingQuota[[#This Row],[Actual]]</f>
        <v>2</v>
      </c>
      <c r="H630" s="80">
        <f>DistMeetingQuota[[#This Row],[Actual]]/DistMeetingQuota[[#This Row],[Quota]]</f>
        <v>0</v>
      </c>
      <c r="I630" s="78"/>
      <c r="J630" s="6"/>
      <c r="K630" s="6"/>
      <c r="L630" s="6"/>
      <c r="M630" s="6"/>
      <c r="N630" s="6"/>
      <c r="O630" s="6"/>
      <c r="P630" s="120" t="s">
        <v>61</v>
      </c>
      <c r="Q630" s="6"/>
    </row>
    <row r="631" spans="1:17" s="109" customFormat="1" ht="30">
      <c r="A631" s="78">
        <v>2113728</v>
      </c>
      <c r="B631" s="92" t="s">
        <v>589</v>
      </c>
      <c r="C631" s="78" t="s">
        <v>19</v>
      </c>
      <c r="D631" s="4" t="s">
        <v>5</v>
      </c>
      <c r="E631" s="79">
        <v>24</v>
      </c>
      <c r="F631" s="11">
        <f>SUM(DistMeetingQuota[[#This Row],[Sep]:[Feb]])</f>
        <v>8</v>
      </c>
      <c r="G631" s="11">
        <f>DistMeetingQuota[[#This Row],[Quota]]-DistMeetingQuota[[#This Row],[Actual]]</f>
        <v>16</v>
      </c>
      <c r="H631" s="80">
        <f>DistMeetingQuota[[#This Row],[Actual]]/DistMeetingQuota[[#This Row],[Quota]]</f>
        <v>0.33333333333333331</v>
      </c>
      <c r="I631" s="78"/>
      <c r="J631" s="6"/>
      <c r="K631" s="6">
        <v>2</v>
      </c>
      <c r="L631" s="6">
        <v>4</v>
      </c>
      <c r="M631" s="6">
        <v>2</v>
      </c>
      <c r="N631" s="6"/>
      <c r="O631" s="6"/>
      <c r="P631" s="120" t="s">
        <v>479</v>
      </c>
      <c r="Q631" s="6"/>
    </row>
    <row r="632" spans="1:17" s="109" customFormat="1" ht="30">
      <c r="A632" s="78">
        <v>2113728</v>
      </c>
      <c r="B632" s="92" t="s">
        <v>589</v>
      </c>
      <c r="C632" s="78" t="s">
        <v>19</v>
      </c>
      <c r="D632" s="4" t="s">
        <v>11</v>
      </c>
      <c r="E632" s="79">
        <v>2</v>
      </c>
      <c r="F632" s="11">
        <f>SUM(DistMeetingQuota[[#This Row],[Sep]:[Feb]])</f>
        <v>0</v>
      </c>
      <c r="G632" s="11">
        <f>DistMeetingQuota[[#This Row],[Quota]]-DistMeetingQuota[[#This Row],[Actual]]</f>
        <v>2</v>
      </c>
      <c r="H632" s="80">
        <f>DistMeetingQuota[[#This Row],[Actual]]/DistMeetingQuota[[#This Row],[Quota]]</f>
        <v>0</v>
      </c>
      <c r="I632" s="78"/>
      <c r="J632" s="6"/>
      <c r="K632" s="6"/>
      <c r="L632" s="6"/>
      <c r="M632" s="6"/>
      <c r="N632" s="6"/>
      <c r="O632" s="6"/>
      <c r="P632" s="120" t="s">
        <v>479</v>
      </c>
      <c r="Q632" s="6"/>
    </row>
    <row r="633" spans="1:17" s="109" customFormat="1">
      <c r="A633" s="78">
        <v>2333370</v>
      </c>
      <c r="B633" s="92" t="s">
        <v>590</v>
      </c>
      <c r="C633" s="78" t="s">
        <v>19</v>
      </c>
      <c r="D633" s="4" t="s">
        <v>5</v>
      </c>
      <c r="E633" s="79">
        <v>24</v>
      </c>
      <c r="F633" s="11">
        <f>SUM(DistMeetingQuota[[#This Row],[Sep]:[Feb]])</f>
        <v>0</v>
      </c>
      <c r="G633" s="11">
        <f>DistMeetingQuota[[#This Row],[Quota]]-DistMeetingQuota[[#This Row],[Actual]]</f>
        <v>24</v>
      </c>
      <c r="H633" s="80">
        <f>DistMeetingQuota[[#This Row],[Actual]]/DistMeetingQuota[[#This Row],[Quota]]</f>
        <v>0</v>
      </c>
      <c r="I633" s="78"/>
      <c r="J633" s="6"/>
      <c r="K633" s="6"/>
      <c r="L633" s="6"/>
      <c r="M633" s="6"/>
      <c r="N633" s="6"/>
      <c r="O633" s="6"/>
      <c r="P633" s="120" t="s">
        <v>470</v>
      </c>
      <c r="Q633" s="6"/>
    </row>
    <row r="634" spans="1:17" s="109" customFormat="1">
      <c r="A634" s="78">
        <v>2333370</v>
      </c>
      <c r="B634" s="92" t="s">
        <v>590</v>
      </c>
      <c r="C634" s="78" t="s">
        <v>19</v>
      </c>
      <c r="D634" s="4" t="s">
        <v>11</v>
      </c>
      <c r="E634" s="79">
        <v>2</v>
      </c>
      <c r="F634" s="11">
        <f>SUM(DistMeetingQuota[[#This Row],[Sep]:[Feb]])</f>
        <v>0</v>
      </c>
      <c r="G634" s="11">
        <f>DistMeetingQuota[[#This Row],[Quota]]-DistMeetingQuota[[#This Row],[Actual]]</f>
        <v>2</v>
      </c>
      <c r="H634" s="80">
        <f>DistMeetingQuota[[#This Row],[Actual]]/DistMeetingQuota[[#This Row],[Quota]]</f>
        <v>0</v>
      </c>
      <c r="I634" s="78"/>
      <c r="J634" s="6"/>
      <c r="K634" s="6"/>
      <c r="L634" s="6"/>
      <c r="M634" s="6"/>
      <c r="N634" s="6"/>
      <c r="O634" s="6"/>
      <c r="P634" s="120" t="s">
        <v>470</v>
      </c>
      <c r="Q634" s="6"/>
    </row>
    <row r="635" spans="1:17" s="109" customFormat="1" ht="30">
      <c r="A635" s="78">
        <v>2187933</v>
      </c>
      <c r="B635" s="92" t="s">
        <v>591</v>
      </c>
      <c r="C635" s="78" t="s">
        <v>19</v>
      </c>
      <c r="D635" s="4" t="s">
        <v>11</v>
      </c>
      <c r="E635" s="79">
        <v>2</v>
      </c>
      <c r="F635" s="11">
        <f>SUM(DistMeetingQuota[[#This Row],[Sep]:[Feb]])</f>
        <v>0</v>
      </c>
      <c r="G635" s="11">
        <f>DistMeetingQuota[[#This Row],[Quota]]-DistMeetingQuota[[#This Row],[Actual]]</f>
        <v>2</v>
      </c>
      <c r="H635" s="80">
        <f>DistMeetingQuota[[#This Row],[Actual]]/DistMeetingQuota[[#This Row],[Quota]]</f>
        <v>0</v>
      </c>
      <c r="I635" s="78"/>
      <c r="J635" s="6"/>
      <c r="K635" s="6"/>
      <c r="L635" s="6"/>
      <c r="M635" s="6"/>
      <c r="N635" s="6"/>
      <c r="O635" s="6"/>
      <c r="P635" s="120" t="s">
        <v>14</v>
      </c>
      <c r="Q635" s="6"/>
    </row>
    <row r="636" spans="1:17" s="109" customFormat="1" ht="30">
      <c r="A636" s="78">
        <v>2118074</v>
      </c>
      <c r="B636" s="92" t="s">
        <v>516</v>
      </c>
      <c r="C636" s="78" t="s">
        <v>19</v>
      </c>
      <c r="D636" s="4" t="s">
        <v>11</v>
      </c>
      <c r="E636" s="79">
        <v>2</v>
      </c>
      <c r="F636" s="11">
        <f>SUM(DistMeetingQuota[[#This Row],[Sep]:[Feb]])</f>
        <v>0</v>
      </c>
      <c r="G636" s="11">
        <f>DistMeetingQuota[[#This Row],[Quota]]-DistMeetingQuota[[#This Row],[Actual]]</f>
        <v>2</v>
      </c>
      <c r="H636" s="80">
        <f>DistMeetingQuota[[#This Row],[Actual]]/DistMeetingQuota[[#This Row],[Quota]]</f>
        <v>0</v>
      </c>
      <c r="I636" s="78"/>
      <c r="J636" s="6"/>
      <c r="K636" s="6"/>
      <c r="L636" s="6"/>
      <c r="M636" s="6"/>
      <c r="N636" s="6"/>
      <c r="O636" s="6"/>
      <c r="P636" s="120" t="s">
        <v>492</v>
      </c>
      <c r="Q636" s="6"/>
    </row>
    <row r="637" spans="1:17" s="109" customFormat="1" ht="30">
      <c r="A637" s="78">
        <v>2243568</v>
      </c>
      <c r="B637" s="92" t="s">
        <v>592</v>
      </c>
      <c r="C637" s="78" t="s">
        <v>19</v>
      </c>
      <c r="D637" s="4" t="s">
        <v>11</v>
      </c>
      <c r="E637" s="79">
        <v>2</v>
      </c>
      <c r="F637" s="11">
        <f>SUM(DistMeetingQuota[[#This Row],[Sep]:[Feb]])</f>
        <v>0</v>
      </c>
      <c r="G637" s="11">
        <f>DistMeetingQuota[[#This Row],[Quota]]-DistMeetingQuota[[#This Row],[Actual]]</f>
        <v>2</v>
      </c>
      <c r="H637" s="80">
        <f>DistMeetingQuota[[#This Row],[Actual]]/DistMeetingQuota[[#This Row],[Quota]]</f>
        <v>0</v>
      </c>
      <c r="I637" s="78"/>
      <c r="J637" s="6"/>
      <c r="K637" s="6"/>
      <c r="L637" s="6"/>
      <c r="M637" s="6"/>
      <c r="N637" s="6"/>
      <c r="O637" s="6"/>
      <c r="P637" s="139" t="s">
        <v>14</v>
      </c>
      <c r="Q637" s="6"/>
    </row>
    <row r="638" spans="1:17" s="109" customFormat="1" ht="30">
      <c r="A638" s="78">
        <v>2153393</v>
      </c>
      <c r="B638" s="92" t="s">
        <v>593</v>
      </c>
      <c r="C638" s="78" t="s">
        <v>19</v>
      </c>
      <c r="D638" s="4" t="s">
        <v>11</v>
      </c>
      <c r="E638" s="79">
        <v>2</v>
      </c>
      <c r="F638" s="11">
        <f>SUM(DistMeetingQuota[[#This Row],[Sep]:[Feb]])</f>
        <v>0</v>
      </c>
      <c r="G638" s="11">
        <f>DistMeetingQuota[[#This Row],[Quota]]-DistMeetingQuota[[#This Row],[Actual]]</f>
        <v>2</v>
      </c>
      <c r="H638" s="80">
        <f>DistMeetingQuota[[#This Row],[Actual]]/DistMeetingQuota[[#This Row],[Quota]]</f>
        <v>0</v>
      </c>
      <c r="I638" s="78"/>
      <c r="J638" s="6"/>
      <c r="K638" s="6"/>
      <c r="L638" s="6"/>
      <c r="M638" s="6"/>
      <c r="N638" s="6"/>
      <c r="O638" s="6"/>
      <c r="P638" s="139" t="s">
        <v>14</v>
      </c>
      <c r="Q638" s="6"/>
    </row>
    <row r="639" spans="1:17" s="109" customFormat="1" ht="30">
      <c r="A639" s="78">
        <v>2218335</v>
      </c>
      <c r="B639" s="92" t="s">
        <v>594</v>
      </c>
      <c r="C639" s="78" t="s">
        <v>19</v>
      </c>
      <c r="D639" s="4" t="s">
        <v>11</v>
      </c>
      <c r="E639" s="79">
        <v>2</v>
      </c>
      <c r="F639" s="11">
        <f>SUM(DistMeetingQuota[[#This Row],[Sep]:[Feb]])</f>
        <v>0</v>
      </c>
      <c r="G639" s="11">
        <f>DistMeetingQuota[[#This Row],[Quota]]-DistMeetingQuota[[#This Row],[Actual]]</f>
        <v>2</v>
      </c>
      <c r="H639" s="80">
        <f>DistMeetingQuota[[#This Row],[Actual]]/DistMeetingQuota[[#This Row],[Quota]]</f>
        <v>0</v>
      </c>
      <c r="I639" s="78"/>
      <c r="J639" s="6"/>
      <c r="K639" s="6"/>
      <c r="L639" s="6"/>
      <c r="M639" s="6"/>
      <c r="N639" s="6"/>
      <c r="O639" s="6"/>
      <c r="P639" s="139" t="s">
        <v>14</v>
      </c>
      <c r="Q639" s="6"/>
    </row>
    <row r="640" spans="1:17" s="109" customFormat="1" ht="30">
      <c r="A640" s="78">
        <v>2150365</v>
      </c>
      <c r="B640" s="92" t="s">
        <v>595</v>
      </c>
      <c r="C640" s="78" t="s">
        <v>19</v>
      </c>
      <c r="D640" s="4" t="s">
        <v>5</v>
      </c>
      <c r="E640" s="79">
        <v>24</v>
      </c>
      <c r="F640" s="11">
        <f>SUM(DistMeetingQuota[[#This Row],[Sep]:[Feb]])</f>
        <v>21</v>
      </c>
      <c r="G640" s="11">
        <f>DistMeetingQuota[[#This Row],[Quota]]-DistMeetingQuota[[#This Row],[Actual]]</f>
        <v>3</v>
      </c>
      <c r="H640" s="80">
        <f>DistMeetingQuota[[#This Row],[Actual]]/DistMeetingQuota[[#This Row],[Quota]]</f>
        <v>0.875</v>
      </c>
      <c r="I640" s="78">
        <v>4</v>
      </c>
      <c r="J640" s="6">
        <v>4</v>
      </c>
      <c r="K640" s="6">
        <v>4</v>
      </c>
      <c r="L640" s="6">
        <v>5</v>
      </c>
      <c r="M640" s="6">
        <v>4</v>
      </c>
      <c r="N640" s="6"/>
      <c r="O640" s="6"/>
      <c r="P640" s="120" t="s">
        <v>68</v>
      </c>
      <c r="Q640" s="6"/>
    </row>
    <row r="641" spans="1:17" s="109" customFormat="1" ht="30">
      <c r="A641" s="78">
        <v>2150365</v>
      </c>
      <c r="B641" s="92" t="s">
        <v>595</v>
      </c>
      <c r="C641" s="78" t="s">
        <v>19</v>
      </c>
      <c r="D641" s="4" t="s">
        <v>11</v>
      </c>
      <c r="E641" s="79">
        <v>2</v>
      </c>
      <c r="F641" s="11">
        <f>SUM(DistMeetingQuota[[#This Row],[Sep]:[Feb]])</f>
        <v>0</v>
      </c>
      <c r="G641" s="11">
        <f>DistMeetingQuota[[#This Row],[Quota]]-DistMeetingQuota[[#This Row],[Actual]]</f>
        <v>2</v>
      </c>
      <c r="H641" s="80">
        <f>DistMeetingQuota[[#This Row],[Actual]]/DistMeetingQuota[[#This Row],[Quota]]</f>
        <v>0</v>
      </c>
      <c r="I641" s="78"/>
      <c r="J641" s="6"/>
      <c r="K641" s="6"/>
      <c r="L641" s="6"/>
      <c r="M641" s="6"/>
      <c r="N641" s="6"/>
      <c r="O641" s="6"/>
      <c r="P641" s="120" t="s">
        <v>68</v>
      </c>
      <c r="Q641" s="6"/>
    </row>
    <row r="642" spans="1:17" s="109" customFormat="1">
      <c r="A642" s="78">
        <v>2149334</v>
      </c>
      <c r="B642" s="92" t="s">
        <v>598</v>
      </c>
      <c r="C642" s="78" t="s">
        <v>19</v>
      </c>
      <c r="D642" s="4" t="s">
        <v>11</v>
      </c>
      <c r="E642" s="79">
        <v>2</v>
      </c>
      <c r="F642" s="11">
        <f>SUM(DistMeetingQuota[[#This Row],[Sep]:[Feb]])</f>
        <v>1</v>
      </c>
      <c r="G642" s="11">
        <f>DistMeetingQuota[[#This Row],[Quota]]-DistMeetingQuota[[#This Row],[Actual]]</f>
        <v>1</v>
      </c>
      <c r="H642" s="80">
        <f>DistMeetingQuota[[#This Row],[Actual]]/DistMeetingQuota[[#This Row],[Quota]]</f>
        <v>0.5</v>
      </c>
      <c r="I642" s="78"/>
      <c r="J642" s="6">
        <v>1</v>
      </c>
      <c r="K642" s="6"/>
      <c r="L642" s="6"/>
      <c r="M642" s="6"/>
      <c r="N642" s="6"/>
      <c r="O642" s="6"/>
      <c r="P642" s="120" t="s">
        <v>475</v>
      </c>
      <c r="Q642" s="6"/>
    </row>
    <row r="643" spans="1:17" s="109" customFormat="1" ht="30">
      <c r="A643" s="78">
        <v>2229397</v>
      </c>
      <c r="B643" s="92" t="s">
        <v>599</v>
      </c>
      <c r="C643" s="78" t="s">
        <v>19</v>
      </c>
      <c r="D643" s="4" t="s">
        <v>11</v>
      </c>
      <c r="E643" s="79">
        <v>2</v>
      </c>
      <c r="F643" s="11">
        <f>SUM(DistMeetingQuota[[#This Row],[Sep]:[Feb]])</f>
        <v>0</v>
      </c>
      <c r="G643" s="11">
        <f>DistMeetingQuota[[#This Row],[Quota]]-DistMeetingQuota[[#This Row],[Actual]]</f>
        <v>2</v>
      </c>
      <c r="H643" s="80">
        <f>DistMeetingQuota[[#This Row],[Actual]]/DistMeetingQuota[[#This Row],[Quota]]</f>
        <v>0</v>
      </c>
      <c r="I643" s="78"/>
      <c r="J643" s="6"/>
      <c r="K643" s="6"/>
      <c r="L643" s="6"/>
      <c r="M643" s="6"/>
      <c r="N643" s="6"/>
      <c r="O643" s="6"/>
      <c r="P643" s="120" t="s">
        <v>14</v>
      </c>
      <c r="Q643" s="6"/>
    </row>
    <row r="644" spans="1:17" s="109" customFormat="1" ht="30">
      <c r="A644" s="78">
        <v>2222301</v>
      </c>
      <c r="B644" s="92" t="s">
        <v>600</v>
      </c>
      <c r="C644" s="78" t="s">
        <v>19</v>
      </c>
      <c r="D644" s="4" t="s">
        <v>5</v>
      </c>
      <c r="E644" s="79">
        <v>24</v>
      </c>
      <c r="F644" s="11">
        <f>SUM(DistMeetingQuota[[#This Row],[Sep]:[Feb]])</f>
        <v>20</v>
      </c>
      <c r="G644" s="11">
        <f>DistMeetingQuota[[#This Row],[Quota]]-DistMeetingQuota[[#This Row],[Actual]]</f>
        <v>4</v>
      </c>
      <c r="H644" s="80">
        <f>DistMeetingQuota[[#This Row],[Actual]]/DistMeetingQuota[[#This Row],[Quota]]</f>
        <v>0.83333333333333337</v>
      </c>
      <c r="I644" s="78"/>
      <c r="J644" s="6"/>
      <c r="K644" s="6"/>
      <c r="L644" s="6">
        <v>10</v>
      </c>
      <c r="M644" s="6">
        <v>10</v>
      </c>
      <c r="N644" s="6"/>
      <c r="O644" s="6"/>
      <c r="P644" s="120" t="s">
        <v>10</v>
      </c>
      <c r="Q644" s="6"/>
    </row>
    <row r="645" spans="1:17" s="109" customFormat="1" ht="30">
      <c r="A645" s="78">
        <v>2222301</v>
      </c>
      <c r="B645" s="92" t="s">
        <v>600</v>
      </c>
      <c r="C645" s="78" t="s">
        <v>19</v>
      </c>
      <c r="D645" s="4" t="s">
        <v>11</v>
      </c>
      <c r="E645" s="79">
        <v>2</v>
      </c>
      <c r="F645" s="11">
        <f>SUM(DistMeetingQuota[[#This Row],[Sep]:[Feb]])</f>
        <v>0</v>
      </c>
      <c r="G645" s="11">
        <f>DistMeetingQuota[[#This Row],[Quota]]-DistMeetingQuota[[#This Row],[Actual]]</f>
        <v>2</v>
      </c>
      <c r="H645" s="80">
        <f>DistMeetingQuota[[#This Row],[Actual]]/DistMeetingQuota[[#This Row],[Quota]]</f>
        <v>0</v>
      </c>
      <c r="I645" s="78"/>
      <c r="J645" s="6"/>
      <c r="K645" s="6"/>
      <c r="L645" s="6"/>
      <c r="M645" s="6"/>
      <c r="N645" s="6"/>
      <c r="O645" s="6"/>
      <c r="P645" s="120" t="s">
        <v>10</v>
      </c>
      <c r="Q645" s="6"/>
    </row>
    <row r="646" spans="1:17" s="109" customFormat="1" ht="30">
      <c r="A646" s="78">
        <v>2210178</v>
      </c>
      <c r="B646" s="92" t="s">
        <v>601</v>
      </c>
      <c r="C646" s="78" t="s">
        <v>19</v>
      </c>
      <c r="D646" s="4" t="s">
        <v>5</v>
      </c>
      <c r="E646" s="79">
        <v>24</v>
      </c>
      <c r="F646" s="11">
        <f>SUM(DistMeetingQuota[[#This Row],[Sep]:[Feb]])</f>
        <v>0</v>
      </c>
      <c r="G646" s="11">
        <f>DistMeetingQuota[[#This Row],[Quota]]-DistMeetingQuota[[#This Row],[Actual]]</f>
        <v>24</v>
      </c>
      <c r="H646" s="80">
        <f>DistMeetingQuota[[#This Row],[Actual]]/DistMeetingQuota[[#This Row],[Quota]]</f>
        <v>0</v>
      </c>
      <c r="I646" s="78"/>
      <c r="J646" s="6"/>
      <c r="K646" s="6"/>
      <c r="L646" s="6"/>
      <c r="M646" s="6"/>
      <c r="N646" s="6"/>
      <c r="O646" s="6"/>
      <c r="P646" s="120" t="s">
        <v>10</v>
      </c>
      <c r="Q646" s="6"/>
    </row>
    <row r="647" spans="1:17" s="109" customFormat="1" ht="30">
      <c r="A647" s="78">
        <v>2210178</v>
      </c>
      <c r="B647" s="92" t="s">
        <v>601</v>
      </c>
      <c r="C647" s="78" t="s">
        <v>19</v>
      </c>
      <c r="D647" s="4" t="s">
        <v>11</v>
      </c>
      <c r="E647" s="79">
        <v>2</v>
      </c>
      <c r="F647" s="11">
        <f>SUM(DistMeetingQuota[[#This Row],[Sep]:[Feb]])</f>
        <v>1</v>
      </c>
      <c r="G647" s="11">
        <f>DistMeetingQuota[[#This Row],[Quota]]-DistMeetingQuota[[#This Row],[Actual]]</f>
        <v>1</v>
      </c>
      <c r="H647" s="80">
        <f>DistMeetingQuota[[#This Row],[Actual]]/DistMeetingQuota[[#This Row],[Quota]]</f>
        <v>0.5</v>
      </c>
      <c r="I647" s="78"/>
      <c r="J647" s="6"/>
      <c r="K647" s="6"/>
      <c r="L647" s="6">
        <v>1</v>
      </c>
      <c r="M647" s="6"/>
      <c r="N647" s="6"/>
      <c r="O647" s="6"/>
      <c r="P647" s="120" t="s">
        <v>10</v>
      </c>
      <c r="Q647" s="6"/>
    </row>
    <row r="648" spans="1:17" s="109" customFormat="1">
      <c r="A648" s="4">
        <v>2210540</v>
      </c>
      <c r="B648" s="5" t="s">
        <v>603</v>
      </c>
      <c r="C648" s="4" t="s">
        <v>19</v>
      </c>
      <c r="D648" s="4" t="s">
        <v>5</v>
      </c>
      <c r="E648" s="53">
        <v>24</v>
      </c>
      <c r="F648" s="11">
        <f>SUM(DistMeetingQuota[[#This Row],[Sep]:[Feb]])</f>
        <v>0</v>
      </c>
      <c r="G648" s="11">
        <f>DistMeetingQuota[[#This Row],[Quota]]-DistMeetingQuota[[#This Row],[Actual]]</f>
        <v>24</v>
      </c>
      <c r="H648" s="49">
        <f>DistMeetingQuota[[#This Row],[Actual]]/DistMeetingQuota[[#This Row],[Quota]]</f>
        <v>0</v>
      </c>
      <c r="I648" s="4"/>
      <c r="J648" s="2"/>
      <c r="K648" s="2"/>
      <c r="L648" s="2"/>
      <c r="M648" s="2"/>
      <c r="N648" s="2"/>
      <c r="O648" s="2"/>
      <c r="P648" s="120" t="s">
        <v>10</v>
      </c>
      <c r="Q648" s="2"/>
    </row>
    <row r="649" spans="1:17" s="109" customFormat="1">
      <c r="A649" s="4">
        <v>2210540</v>
      </c>
      <c r="B649" s="5" t="s">
        <v>603</v>
      </c>
      <c r="C649" s="4" t="s">
        <v>19</v>
      </c>
      <c r="D649" s="4" t="s">
        <v>11</v>
      </c>
      <c r="E649" s="53">
        <v>2</v>
      </c>
      <c r="F649" s="11">
        <f>SUM(DistMeetingQuota[[#This Row],[Sep]:[Feb]])</f>
        <v>2</v>
      </c>
      <c r="G649" s="11">
        <f>DistMeetingQuota[[#This Row],[Quota]]-DistMeetingQuota[[#This Row],[Actual]]</f>
        <v>0</v>
      </c>
      <c r="H649" s="49">
        <f>DistMeetingQuota[[#This Row],[Actual]]/DistMeetingQuota[[#This Row],[Quota]]</f>
        <v>1</v>
      </c>
      <c r="I649" s="4"/>
      <c r="J649" s="2"/>
      <c r="K649" s="2">
        <v>2</v>
      </c>
      <c r="L649" s="2"/>
      <c r="M649" s="2"/>
      <c r="N649" s="2"/>
      <c r="O649" s="2"/>
      <c r="P649" s="120" t="s">
        <v>10</v>
      </c>
      <c r="Q649" s="2"/>
    </row>
    <row r="650" spans="1:17" s="109" customFormat="1" ht="30">
      <c r="A650" s="4">
        <v>2209120</v>
      </c>
      <c r="B650" s="138" t="s">
        <v>640</v>
      </c>
      <c r="C650" s="4" t="s">
        <v>19</v>
      </c>
      <c r="D650" s="4" t="s">
        <v>5</v>
      </c>
      <c r="E650" s="53">
        <v>24</v>
      </c>
      <c r="F650" s="11">
        <f>SUM(DistMeetingQuota[[#This Row],[Sep]:[Feb]])</f>
        <v>8</v>
      </c>
      <c r="G650" s="11">
        <f>DistMeetingQuota[[#This Row],[Quota]]-DistMeetingQuota[[#This Row],[Actual]]</f>
        <v>16</v>
      </c>
      <c r="H650" s="49">
        <f>DistMeetingQuota[[#This Row],[Actual]]/DistMeetingQuota[[#This Row],[Quota]]</f>
        <v>0.33333333333333331</v>
      </c>
      <c r="I650" s="4">
        <v>4</v>
      </c>
      <c r="J650" s="2"/>
      <c r="K650" s="2"/>
      <c r="L650" s="2"/>
      <c r="M650" s="2">
        <v>4</v>
      </c>
      <c r="N650" s="2"/>
      <c r="O650" s="2"/>
      <c r="P650" s="120" t="s">
        <v>475</v>
      </c>
      <c r="Q650" s="2"/>
    </row>
    <row r="651" spans="1:17" s="109" customFormat="1" ht="30">
      <c r="A651" s="78">
        <v>2209120</v>
      </c>
      <c r="B651" s="5" t="s">
        <v>640</v>
      </c>
      <c r="C651" s="78" t="s">
        <v>19</v>
      </c>
      <c r="D651" s="4" t="s">
        <v>11</v>
      </c>
      <c r="E651" s="79">
        <v>2</v>
      </c>
      <c r="F651" s="11">
        <f>SUM(DistMeetingQuota[[#This Row],[Sep]:[Feb]])</f>
        <v>2</v>
      </c>
      <c r="G651" s="11">
        <f>DistMeetingQuota[[#This Row],[Quota]]-DistMeetingQuota[[#This Row],[Actual]]</f>
        <v>0</v>
      </c>
      <c r="H651" s="80">
        <f>DistMeetingQuota[[#This Row],[Actual]]/DistMeetingQuota[[#This Row],[Quota]]</f>
        <v>1</v>
      </c>
      <c r="I651" s="78">
        <v>1</v>
      </c>
      <c r="J651" s="6">
        <v>1</v>
      </c>
      <c r="K651" s="6"/>
      <c r="L651" s="6"/>
      <c r="M651" s="6"/>
      <c r="N651" s="6"/>
      <c r="O651" s="6"/>
      <c r="P651" s="120" t="s">
        <v>475</v>
      </c>
      <c r="Q651" s="6"/>
    </row>
    <row r="652" spans="1:17" s="109" customFormat="1" ht="30">
      <c r="A652" s="78">
        <v>2133468</v>
      </c>
      <c r="B652" s="92" t="s">
        <v>604</v>
      </c>
      <c r="C652" s="78" t="s">
        <v>19</v>
      </c>
      <c r="D652" s="4" t="s">
        <v>5</v>
      </c>
      <c r="E652" s="79">
        <v>24</v>
      </c>
      <c r="F652" s="11">
        <f>SUM(DistMeetingQuota[[#This Row],[Sep]:[Feb]])</f>
        <v>0</v>
      </c>
      <c r="G652" s="11">
        <f>DistMeetingQuota[[#This Row],[Quota]]-DistMeetingQuota[[#This Row],[Actual]]</f>
        <v>24</v>
      </c>
      <c r="H652" s="80">
        <f>DistMeetingQuota[[#This Row],[Actual]]/DistMeetingQuota[[#This Row],[Quota]]</f>
        <v>0</v>
      </c>
      <c r="I652" s="78"/>
      <c r="J652" s="6"/>
      <c r="K652" s="6"/>
      <c r="L652" s="6"/>
      <c r="M652" s="6"/>
      <c r="N652" s="6"/>
      <c r="O652" s="6"/>
      <c r="P652" s="120" t="s">
        <v>479</v>
      </c>
      <c r="Q652" s="6"/>
    </row>
    <row r="653" spans="1:17" s="109" customFormat="1" ht="30">
      <c r="A653" s="78">
        <v>2133468</v>
      </c>
      <c r="B653" s="92" t="s">
        <v>604</v>
      </c>
      <c r="C653" s="78" t="s">
        <v>19</v>
      </c>
      <c r="D653" s="4" t="s">
        <v>11</v>
      </c>
      <c r="E653" s="79">
        <v>2</v>
      </c>
      <c r="F653" s="11">
        <f>SUM(DistMeetingQuota[[#This Row],[Sep]:[Feb]])</f>
        <v>0</v>
      </c>
      <c r="G653" s="11">
        <f>DistMeetingQuota[[#This Row],[Quota]]-DistMeetingQuota[[#This Row],[Actual]]</f>
        <v>2</v>
      </c>
      <c r="H653" s="80">
        <f>DistMeetingQuota[[#This Row],[Actual]]/DistMeetingQuota[[#This Row],[Quota]]</f>
        <v>0</v>
      </c>
      <c r="I653" s="78"/>
      <c r="J653" s="6"/>
      <c r="K653" s="6"/>
      <c r="L653" s="6"/>
      <c r="M653" s="6"/>
      <c r="N653" s="6"/>
      <c r="O653" s="6"/>
      <c r="P653" s="120" t="s">
        <v>479</v>
      </c>
      <c r="Q653" s="6"/>
    </row>
    <row r="654" spans="1:17" s="154" customFormat="1">
      <c r="A654" s="149">
        <v>2140187</v>
      </c>
      <c r="B654" s="167" t="s">
        <v>605</v>
      </c>
      <c r="C654" s="149" t="s">
        <v>19</v>
      </c>
      <c r="D654" s="147" t="s">
        <v>11</v>
      </c>
      <c r="E654" s="168">
        <v>2</v>
      </c>
      <c r="F654" s="157">
        <f>SUM(DistMeetingQuota[[#This Row],[Sep]:[Feb]])</f>
        <v>0</v>
      </c>
      <c r="G654" s="157">
        <f>DistMeetingQuota[[#This Row],[Quota]]-DistMeetingQuota[[#This Row],[Actual]]</f>
        <v>2</v>
      </c>
      <c r="H654" s="169">
        <f>DistMeetingQuota[[#This Row],[Actual]]/DistMeetingQuota[[#This Row],[Quota]]</f>
        <v>0</v>
      </c>
      <c r="I654" s="149"/>
      <c r="J654" s="170"/>
      <c r="K654" s="170"/>
      <c r="L654" s="170"/>
      <c r="M654" s="170"/>
      <c r="N654" s="170"/>
      <c r="O654" s="170"/>
      <c r="P654" s="246" t="s">
        <v>14</v>
      </c>
      <c r="Q654" s="170"/>
    </row>
    <row r="655" spans="1:17" s="109" customFormat="1">
      <c r="A655" s="78">
        <v>2075909</v>
      </c>
      <c r="B655" s="92" t="s">
        <v>606</v>
      </c>
      <c r="C655" s="78" t="s">
        <v>19</v>
      </c>
      <c r="D655" s="4" t="s">
        <v>11</v>
      </c>
      <c r="E655" s="79">
        <v>2</v>
      </c>
      <c r="F655" s="11">
        <f>SUM(DistMeetingQuota[[#This Row],[Sep]:[Feb]])</f>
        <v>1</v>
      </c>
      <c r="G655" s="11">
        <f>DistMeetingQuota[[#This Row],[Quota]]-DistMeetingQuota[[#This Row],[Actual]]</f>
        <v>1</v>
      </c>
      <c r="H655" s="80">
        <f>DistMeetingQuota[[#This Row],[Actual]]/DistMeetingQuota[[#This Row],[Quota]]</f>
        <v>0.5</v>
      </c>
      <c r="I655" s="78"/>
      <c r="J655" s="6"/>
      <c r="K655" s="6"/>
      <c r="L655" s="6"/>
      <c r="M655" s="6"/>
      <c r="N655" s="6">
        <v>1</v>
      </c>
      <c r="O655" s="6"/>
      <c r="P655" s="139" t="s">
        <v>10</v>
      </c>
      <c r="Q655" s="6"/>
    </row>
    <row r="656" spans="1:17" s="109" customFormat="1">
      <c r="A656" s="78">
        <v>2176406</v>
      </c>
      <c r="B656" s="92" t="s">
        <v>607</v>
      </c>
      <c r="C656" s="78" t="s">
        <v>19</v>
      </c>
      <c r="D656" s="4" t="s">
        <v>5</v>
      </c>
      <c r="E656" s="79">
        <v>24</v>
      </c>
      <c r="F656" s="11">
        <f>SUM(DistMeetingQuota[[#This Row],[Sep]:[Feb]])</f>
        <v>0</v>
      </c>
      <c r="G656" s="11">
        <f>DistMeetingQuota[[#This Row],[Quota]]-DistMeetingQuota[[#This Row],[Actual]]</f>
        <v>24</v>
      </c>
      <c r="H656" s="80">
        <f>DistMeetingQuota[[#This Row],[Actual]]/DistMeetingQuota[[#This Row],[Quota]]</f>
        <v>0</v>
      </c>
      <c r="I656" s="78"/>
      <c r="J656" s="6"/>
      <c r="K656" s="6"/>
      <c r="L656" s="6"/>
      <c r="M656" s="6"/>
      <c r="N656" s="6"/>
      <c r="O656" s="6"/>
      <c r="P656" s="120"/>
      <c r="Q656" s="6"/>
    </row>
    <row r="657" spans="1:17" s="109" customFormat="1">
      <c r="A657" s="78">
        <v>2176406</v>
      </c>
      <c r="B657" s="92" t="s">
        <v>607</v>
      </c>
      <c r="C657" s="78" t="s">
        <v>19</v>
      </c>
      <c r="D657" s="4" t="s">
        <v>11</v>
      </c>
      <c r="E657" s="79">
        <v>2</v>
      </c>
      <c r="F657" s="11">
        <f>SUM(DistMeetingQuota[[#This Row],[Sep]:[Feb]])</f>
        <v>0</v>
      </c>
      <c r="G657" s="11">
        <f>DistMeetingQuota[[#This Row],[Quota]]-DistMeetingQuota[[#This Row],[Actual]]</f>
        <v>2</v>
      </c>
      <c r="H657" s="80">
        <f>DistMeetingQuota[[#This Row],[Actual]]/DistMeetingQuota[[#This Row],[Quota]]</f>
        <v>0</v>
      </c>
      <c r="I657" s="78"/>
      <c r="J657" s="6"/>
      <c r="K657" s="6"/>
      <c r="L657" s="6"/>
      <c r="M657" s="6"/>
      <c r="N657" s="6"/>
      <c r="O657" s="6"/>
      <c r="P657" s="120"/>
      <c r="Q657" s="6"/>
    </row>
    <row r="658" spans="1:17" s="109" customFormat="1" ht="30">
      <c r="A658" s="78">
        <v>2098046</v>
      </c>
      <c r="B658" s="92" t="s">
        <v>608</v>
      </c>
      <c r="C658" s="78" t="s">
        <v>19</v>
      </c>
      <c r="D658" s="4" t="s">
        <v>5</v>
      </c>
      <c r="E658" s="79">
        <v>24</v>
      </c>
      <c r="F658" s="11">
        <f>SUM(DistMeetingQuota[[#This Row],[Sep]:[Feb]])</f>
        <v>0</v>
      </c>
      <c r="G658" s="11">
        <f>DistMeetingQuota[[#This Row],[Quota]]-DistMeetingQuota[[#This Row],[Actual]]</f>
        <v>24</v>
      </c>
      <c r="H658" s="80">
        <f>DistMeetingQuota[[#This Row],[Actual]]/DistMeetingQuota[[#This Row],[Quota]]</f>
        <v>0</v>
      </c>
      <c r="I658" s="78"/>
      <c r="J658" s="6"/>
      <c r="K658" s="6"/>
      <c r="L658" s="6"/>
      <c r="M658" s="6"/>
      <c r="N658" s="6"/>
      <c r="O658" s="6"/>
      <c r="P658" s="120"/>
      <c r="Q658" s="6"/>
    </row>
    <row r="659" spans="1:17" s="109" customFormat="1" ht="30">
      <c r="A659" s="78">
        <v>2098046</v>
      </c>
      <c r="B659" s="92" t="s">
        <v>608</v>
      </c>
      <c r="C659" s="78" t="s">
        <v>19</v>
      </c>
      <c r="D659" s="4" t="s">
        <v>11</v>
      </c>
      <c r="E659" s="79">
        <v>2</v>
      </c>
      <c r="F659" s="11">
        <f>SUM(DistMeetingQuota[[#This Row],[Sep]:[Feb]])</f>
        <v>0</v>
      </c>
      <c r="G659" s="11">
        <f>DistMeetingQuota[[#This Row],[Quota]]-DistMeetingQuota[[#This Row],[Actual]]</f>
        <v>2</v>
      </c>
      <c r="H659" s="80">
        <f>DistMeetingQuota[[#This Row],[Actual]]/DistMeetingQuota[[#This Row],[Quota]]</f>
        <v>0</v>
      </c>
      <c r="I659" s="78"/>
      <c r="J659" s="6"/>
      <c r="K659" s="6"/>
      <c r="L659" s="6"/>
      <c r="M659" s="6"/>
      <c r="N659" s="6"/>
      <c r="O659" s="6"/>
      <c r="P659" s="120"/>
      <c r="Q659" s="6"/>
    </row>
    <row r="660" spans="1:17" s="154" customFormat="1" ht="30">
      <c r="A660" s="149">
        <v>2029196</v>
      </c>
      <c r="B660" s="167" t="s">
        <v>609</v>
      </c>
      <c r="C660" s="149" t="s">
        <v>19</v>
      </c>
      <c r="D660" s="147" t="s">
        <v>11</v>
      </c>
      <c r="E660" s="168">
        <v>0</v>
      </c>
      <c r="F660" s="157">
        <f>SUM(DistMeetingQuota[[#This Row],[Sep]:[Feb]])</f>
        <v>0</v>
      </c>
      <c r="G660" s="157">
        <f>DistMeetingQuota[[#This Row],[Quota]]-DistMeetingQuota[[#This Row],[Actual]]</f>
        <v>0</v>
      </c>
      <c r="H660" s="169" t="e">
        <f>DistMeetingQuota[[#This Row],[Actual]]/DistMeetingQuota[[#This Row],[Quota]]</f>
        <v>#DIV/0!</v>
      </c>
      <c r="I660" s="149"/>
      <c r="J660" s="170"/>
      <c r="K660" s="170"/>
      <c r="L660" s="170"/>
      <c r="M660" s="170"/>
      <c r="N660" s="170"/>
      <c r="O660" s="170" t="s">
        <v>900</v>
      </c>
      <c r="P660" s="246"/>
      <c r="Q660" s="170"/>
    </row>
    <row r="661" spans="1:17" s="109" customFormat="1">
      <c r="A661" s="78">
        <v>2147231</v>
      </c>
      <c r="B661" s="92" t="s">
        <v>610</v>
      </c>
      <c r="C661" s="78" t="s">
        <v>19</v>
      </c>
      <c r="D661" s="4" t="s">
        <v>11</v>
      </c>
      <c r="E661" s="79">
        <v>2</v>
      </c>
      <c r="F661" s="11">
        <f>SUM(DistMeetingQuota[[#This Row],[Sep]:[Feb]])</f>
        <v>0</v>
      </c>
      <c r="G661" s="11">
        <f>DistMeetingQuota[[#This Row],[Quota]]-DistMeetingQuota[[#This Row],[Actual]]</f>
        <v>2</v>
      </c>
      <c r="H661" s="80">
        <f>DistMeetingQuota[[#This Row],[Actual]]/DistMeetingQuota[[#This Row],[Quota]]</f>
        <v>0</v>
      </c>
      <c r="I661" s="78"/>
      <c r="J661" s="6"/>
      <c r="K661" s="6"/>
      <c r="L661" s="6"/>
      <c r="M661" s="6"/>
      <c r="N661" s="6"/>
      <c r="O661" s="6"/>
      <c r="P661" s="139" t="s">
        <v>14</v>
      </c>
      <c r="Q661" s="6"/>
    </row>
    <row r="662" spans="1:17" s="109" customFormat="1">
      <c r="A662" s="78">
        <v>2147231</v>
      </c>
      <c r="B662" s="92" t="s">
        <v>610</v>
      </c>
      <c r="C662" s="78" t="s">
        <v>19</v>
      </c>
      <c r="D662" s="4" t="s">
        <v>5</v>
      </c>
      <c r="E662" s="79">
        <v>24</v>
      </c>
      <c r="F662" s="11">
        <f>SUM(DistMeetingQuota[[#This Row],[Sep]:[Feb]])</f>
        <v>0</v>
      </c>
      <c r="G662" s="11">
        <f>DistMeetingQuota[[#This Row],[Quota]]-DistMeetingQuota[[#This Row],[Actual]]</f>
        <v>24</v>
      </c>
      <c r="H662" s="80">
        <f>DistMeetingQuota[[#This Row],[Actual]]/DistMeetingQuota[[#This Row],[Quota]]</f>
        <v>0</v>
      </c>
      <c r="I662" s="78"/>
      <c r="J662" s="6"/>
      <c r="K662" s="6"/>
      <c r="L662" s="6"/>
      <c r="M662" s="6"/>
      <c r="N662" s="6"/>
      <c r="O662" s="6"/>
      <c r="P662" s="139" t="s">
        <v>14</v>
      </c>
      <c r="Q662" s="6"/>
    </row>
    <row r="663" spans="1:17" s="109" customFormat="1" ht="30">
      <c r="A663" s="78">
        <v>2125065</v>
      </c>
      <c r="B663" s="92" t="s">
        <v>614</v>
      </c>
      <c r="C663" s="78" t="s">
        <v>19</v>
      </c>
      <c r="D663" s="4" t="s">
        <v>11</v>
      </c>
      <c r="E663" s="79">
        <v>2</v>
      </c>
      <c r="F663" s="11">
        <f>SUM(DistMeetingQuota[[#This Row],[Sep]:[Feb]])</f>
        <v>0</v>
      </c>
      <c r="G663" s="11">
        <f>DistMeetingQuota[[#This Row],[Quota]]-DistMeetingQuota[[#This Row],[Actual]]</f>
        <v>2</v>
      </c>
      <c r="H663" s="80">
        <f>DistMeetingQuota[[#This Row],[Actual]]/DistMeetingQuota[[#This Row],[Quota]]</f>
        <v>0</v>
      </c>
      <c r="I663" s="78"/>
      <c r="J663" s="6"/>
      <c r="K663" s="6"/>
      <c r="L663" s="6"/>
      <c r="M663" s="6"/>
      <c r="N663" s="6"/>
      <c r="O663" s="6"/>
      <c r="P663" s="120" t="s">
        <v>479</v>
      </c>
      <c r="Q663" s="6"/>
    </row>
    <row r="664" spans="1:17" s="109" customFormat="1" ht="30">
      <c r="A664" s="78">
        <v>2125065</v>
      </c>
      <c r="B664" s="92" t="s">
        <v>614</v>
      </c>
      <c r="C664" s="78" t="s">
        <v>19</v>
      </c>
      <c r="D664" s="4" t="s">
        <v>5</v>
      </c>
      <c r="E664" s="79">
        <v>24</v>
      </c>
      <c r="F664" s="11">
        <f>SUM(DistMeetingQuota[[#This Row],[Sep]:[Feb]])</f>
        <v>0</v>
      </c>
      <c r="G664" s="11">
        <f>DistMeetingQuota[[#This Row],[Quota]]-DistMeetingQuota[[#This Row],[Actual]]</f>
        <v>24</v>
      </c>
      <c r="H664" s="80">
        <f>DistMeetingQuota[[#This Row],[Actual]]/DistMeetingQuota[[#This Row],[Quota]]</f>
        <v>0</v>
      </c>
      <c r="I664" s="78"/>
      <c r="J664" s="6"/>
      <c r="K664" s="6"/>
      <c r="L664" s="6"/>
      <c r="M664" s="6"/>
      <c r="N664" s="6"/>
      <c r="O664" s="6"/>
      <c r="P664" s="120" t="s">
        <v>479</v>
      </c>
      <c r="Q664" s="6"/>
    </row>
    <row r="665" spans="1:17" s="109" customFormat="1" ht="30">
      <c r="A665" s="78">
        <v>2241697</v>
      </c>
      <c r="B665" s="92" t="s">
        <v>611</v>
      </c>
      <c r="C665" s="78" t="s">
        <v>19</v>
      </c>
      <c r="D665" s="4" t="s">
        <v>11</v>
      </c>
      <c r="E665" s="79">
        <v>2</v>
      </c>
      <c r="F665" s="11">
        <f>SUM(DistMeetingQuota[[#This Row],[Sep]:[Feb]])</f>
        <v>0</v>
      </c>
      <c r="G665" s="11">
        <f>DistMeetingQuota[[#This Row],[Quota]]-DistMeetingQuota[[#This Row],[Actual]]</f>
        <v>2</v>
      </c>
      <c r="H665" s="80">
        <f>DistMeetingQuota[[#This Row],[Actual]]/DistMeetingQuota[[#This Row],[Quota]]</f>
        <v>0</v>
      </c>
      <c r="I665" s="78"/>
      <c r="J665" s="6"/>
      <c r="K665" s="6"/>
      <c r="L665" s="6"/>
      <c r="M665" s="6"/>
      <c r="N665" s="6"/>
      <c r="O665" s="6"/>
      <c r="P665" s="120" t="s">
        <v>479</v>
      </c>
      <c r="Q665" s="6"/>
    </row>
    <row r="666" spans="1:17" s="109" customFormat="1" ht="30">
      <c r="A666" s="78">
        <v>2241697</v>
      </c>
      <c r="B666" s="92" t="s">
        <v>611</v>
      </c>
      <c r="C666" s="78" t="s">
        <v>19</v>
      </c>
      <c r="D666" s="4" t="s">
        <v>5</v>
      </c>
      <c r="E666" s="79">
        <v>24</v>
      </c>
      <c r="F666" s="11">
        <f>SUM(DistMeetingQuota[[#This Row],[Sep]:[Feb]])</f>
        <v>0</v>
      </c>
      <c r="G666" s="11">
        <f>DistMeetingQuota[[#This Row],[Quota]]-DistMeetingQuota[[#This Row],[Actual]]</f>
        <v>24</v>
      </c>
      <c r="H666" s="80">
        <f>DistMeetingQuota[[#This Row],[Actual]]/DistMeetingQuota[[#This Row],[Quota]]</f>
        <v>0</v>
      </c>
      <c r="I666" s="78"/>
      <c r="J666" s="6"/>
      <c r="K666" s="6"/>
      <c r="L666" s="6"/>
      <c r="M666" s="6"/>
      <c r="N666" s="6"/>
      <c r="O666" s="6"/>
      <c r="P666" s="120" t="s">
        <v>479</v>
      </c>
      <c r="Q666" s="6"/>
    </row>
    <row r="667" spans="1:17" s="109" customFormat="1" ht="30">
      <c r="A667" s="78">
        <v>2212907</v>
      </c>
      <c r="B667" s="92" t="s">
        <v>612</v>
      </c>
      <c r="C667" s="78" t="s">
        <v>19</v>
      </c>
      <c r="D667" s="4" t="s">
        <v>11</v>
      </c>
      <c r="E667" s="79">
        <v>2</v>
      </c>
      <c r="F667" s="11">
        <f>SUM(DistMeetingQuota[[#This Row],[Sep]:[Feb]])</f>
        <v>0</v>
      </c>
      <c r="G667" s="11">
        <f>DistMeetingQuota[[#This Row],[Quota]]-DistMeetingQuota[[#This Row],[Actual]]</f>
        <v>2</v>
      </c>
      <c r="H667" s="80">
        <f>DistMeetingQuota[[#This Row],[Actual]]/DistMeetingQuota[[#This Row],[Quota]]</f>
        <v>0</v>
      </c>
      <c r="I667" s="78"/>
      <c r="J667" s="6"/>
      <c r="K667" s="6"/>
      <c r="L667" s="6"/>
      <c r="M667" s="6"/>
      <c r="N667" s="6"/>
      <c r="O667" s="6"/>
      <c r="P667" s="120" t="s">
        <v>613</v>
      </c>
      <c r="Q667" s="6"/>
    </row>
    <row r="668" spans="1:17" s="109" customFormat="1" ht="30">
      <c r="A668" s="78">
        <v>2212907</v>
      </c>
      <c r="B668" s="92" t="s">
        <v>612</v>
      </c>
      <c r="C668" s="78" t="s">
        <v>19</v>
      </c>
      <c r="D668" s="4" t="s">
        <v>5</v>
      </c>
      <c r="E668" s="79">
        <v>24</v>
      </c>
      <c r="F668" s="11">
        <f>SUM(DistMeetingQuota[[#This Row],[Sep]:[Feb]])</f>
        <v>0</v>
      </c>
      <c r="G668" s="11">
        <f>DistMeetingQuota[[#This Row],[Quota]]-DistMeetingQuota[[#This Row],[Actual]]</f>
        <v>24</v>
      </c>
      <c r="H668" s="80">
        <f>DistMeetingQuota[[#This Row],[Actual]]/DistMeetingQuota[[#This Row],[Quota]]</f>
        <v>0</v>
      </c>
      <c r="I668" s="78"/>
      <c r="J668" s="6"/>
      <c r="K668" s="6"/>
      <c r="L668" s="6"/>
      <c r="M668" s="6"/>
      <c r="N668" s="6"/>
      <c r="O668" s="6"/>
      <c r="P668" s="120" t="s">
        <v>613</v>
      </c>
      <c r="Q668" s="6"/>
    </row>
    <row r="669" spans="1:17" s="109" customFormat="1" ht="30">
      <c r="A669" s="78">
        <v>2015559</v>
      </c>
      <c r="B669" s="92" t="s">
        <v>615</v>
      </c>
      <c r="C669" s="78" t="s">
        <v>19</v>
      </c>
      <c r="D669" s="4" t="s">
        <v>11</v>
      </c>
      <c r="E669" s="79">
        <v>2</v>
      </c>
      <c r="F669" s="11">
        <f>SUM(DistMeetingQuota[[#This Row],[Sep]:[Feb]])</f>
        <v>0</v>
      </c>
      <c r="G669" s="11">
        <f>DistMeetingQuota[[#This Row],[Quota]]-DistMeetingQuota[[#This Row],[Actual]]</f>
        <v>2</v>
      </c>
      <c r="H669" s="80">
        <f>DistMeetingQuota[[#This Row],[Actual]]/DistMeetingQuota[[#This Row],[Quota]]</f>
        <v>0</v>
      </c>
      <c r="I669" s="78"/>
      <c r="J669" s="6"/>
      <c r="K669" s="6"/>
      <c r="L669" s="6"/>
      <c r="M669" s="6"/>
      <c r="N669" s="6"/>
      <c r="O669" s="6"/>
      <c r="P669" s="120" t="s">
        <v>10</v>
      </c>
      <c r="Q669" s="6"/>
    </row>
    <row r="670" spans="1:17" s="109" customFormat="1" ht="30">
      <c r="A670" s="78">
        <v>2049756</v>
      </c>
      <c r="B670" s="92" t="s">
        <v>616</v>
      </c>
      <c r="C670" s="78" t="s">
        <v>19</v>
      </c>
      <c r="D670" s="4" t="s">
        <v>11</v>
      </c>
      <c r="E670" s="79">
        <v>2</v>
      </c>
      <c r="F670" s="11">
        <f>SUM(DistMeetingQuota[[#This Row],[Sep]:[Feb]])</f>
        <v>0</v>
      </c>
      <c r="G670" s="11">
        <f>DistMeetingQuota[[#This Row],[Quota]]-DistMeetingQuota[[#This Row],[Actual]]</f>
        <v>2</v>
      </c>
      <c r="H670" s="80">
        <f>DistMeetingQuota[[#This Row],[Actual]]/DistMeetingQuota[[#This Row],[Quota]]</f>
        <v>0</v>
      </c>
      <c r="I670" s="78"/>
      <c r="J670" s="6"/>
      <c r="K670" s="6"/>
      <c r="L670" s="6"/>
      <c r="M670" s="6"/>
      <c r="N670" s="6"/>
      <c r="O670" s="6"/>
      <c r="P670" s="131" t="s">
        <v>496</v>
      </c>
      <c r="Q670" s="6"/>
    </row>
    <row r="671" spans="1:17" s="109" customFormat="1" ht="30">
      <c r="A671" s="78">
        <v>2049756</v>
      </c>
      <c r="B671" s="92" t="s">
        <v>616</v>
      </c>
      <c r="C671" s="78" t="s">
        <v>19</v>
      </c>
      <c r="D671" s="4" t="s">
        <v>5</v>
      </c>
      <c r="E671" s="79">
        <v>24</v>
      </c>
      <c r="F671" s="11">
        <f>SUM(DistMeetingQuota[[#This Row],[Sep]:[Feb]])</f>
        <v>1</v>
      </c>
      <c r="G671" s="11">
        <f>DistMeetingQuota[[#This Row],[Quota]]-DistMeetingQuota[[#This Row],[Actual]]</f>
        <v>23</v>
      </c>
      <c r="H671" s="80">
        <f>DistMeetingQuota[[#This Row],[Actual]]/DistMeetingQuota[[#This Row],[Quota]]</f>
        <v>4.1666666666666664E-2</v>
      </c>
      <c r="I671" s="78"/>
      <c r="J671" s="6"/>
      <c r="K671" s="6"/>
      <c r="L671" s="6">
        <v>1</v>
      </c>
      <c r="M671" s="6"/>
      <c r="N671" s="6"/>
      <c r="O671" s="6"/>
      <c r="P671" s="131" t="s">
        <v>496</v>
      </c>
      <c r="Q671" s="6"/>
    </row>
    <row r="672" spans="1:17" s="109" customFormat="1" ht="30">
      <c r="A672" s="78">
        <v>2009199</v>
      </c>
      <c r="B672" s="92" t="s">
        <v>617</v>
      </c>
      <c r="C672" s="78" t="s">
        <v>19</v>
      </c>
      <c r="D672" s="4" t="s">
        <v>11</v>
      </c>
      <c r="E672" s="79">
        <v>2</v>
      </c>
      <c r="F672" s="11">
        <f>SUM(DistMeetingQuota[[#This Row],[Sep]:[Feb]])</f>
        <v>0</v>
      </c>
      <c r="G672" s="11">
        <f>DistMeetingQuota[[#This Row],[Quota]]-DistMeetingQuota[[#This Row],[Actual]]</f>
        <v>2</v>
      </c>
      <c r="H672" s="80">
        <f>DistMeetingQuota[[#This Row],[Actual]]/DistMeetingQuota[[#This Row],[Quota]]</f>
        <v>0</v>
      </c>
      <c r="I672" s="78"/>
      <c r="J672" s="6"/>
      <c r="K672" s="6"/>
      <c r="L672" s="6"/>
      <c r="M672" s="6"/>
      <c r="N672" s="6"/>
      <c r="O672" s="6"/>
      <c r="P672" s="120" t="s">
        <v>10</v>
      </c>
      <c r="Q672" s="6"/>
    </row>
    <row r="673" spans="1:17" s="109" customFormat="1">
      <c r="A673" s="78">
        <v>2035680</v>
      </c>
      <c r="B673" s="92" t="s">
        <v>618</v>
      </c>
      <c r="C673" s="78" t="s">
        <v>19</v>
      </c>
      <c r="D673" s="4" t="s">
        <v>11</v>
      </c>
      <c r="E673" s="79">
        <v>2</v>
      </c>
      <c r="F673" s="11">
        <f>SUM(DistMeetingQuota[[#This Row],[Sep]:[Feb]])</f>
        <v>0</v>
      </c>
      <c r="G673" s="11">
        <f>DistMeetingQuota[[#This Row],[Quota]]-DistMeetingQuota[[#This Row],[Actual]]</f>
        <v>2</v>
      </c>
      <c r="H673" s="80">
        <f>DistMeetingQuota[[#This Row],[Actual]]/DistMeetingQuota[[#This Row],[Quota]]</f>
        <v>0</v>
      </c>
      <c r="I673" s="78"/>
      <c r="J673" s="6"/>
      <c r="K673" s="6"/>
      <c r="L673" s="6"/>
      <c r="M673" s="6"/>
      <c r="N673" s="6"/>
      <c r="O673" s="6"/>
      <c r="P673" s="120" t="s">
        <v>10</v>
      </c>
      <c r="Q673" s="6"/>
    </row>
    <row r="674" spans="1:17" s="109" customFormat="1">
      <c r="A674" s="78">
        <v>2041831</v>
      </c>
      <c r="B674" s="92" t="s">
        <v>619</v>
      </c>
      <c r="C674" s="78" t="s">
        <v>19</v>
      </c>
      <c r="D674" s="4" t="s">
        <v>11</v>
      </c>
      <c r="E674" s="79">
        <v>2</v>
      </c>
      <c r="F674" s="11">
        <f>SUM(DistMeetingQuota[[#This Row],[Sep]:[Feb]])</f>
        <v>0</v>
      </c>
      <c r="G674" s="11">
        <f>DistMeetingQuota[[#This Row],[Quota]]-DistMeetingQuota[[#This Row],[Actual]]</f>
        <v>2</v>
      </c>
      <c r="H674" s="80">
        <f>DistMeetingQuota[[#This Row],[Actual]]/DistMeetingQuota[[#This Row],[Quota]]</f>
        <v>0</v>
      </c>
      <c r="I674" s="78"/>
      <c r="J674" s="6"/>
      <c r="K674" s="6"/>
      <c r="L674" s="6"/>
      <c r="M674" s="6"/>
      <c r="N674" s="6"/>
      <c r="O674" s="6"/>
      <c r="P674" s="120" t="s">
        <v>6</v>
      </c>
      <c r="Q674" s="6"/>
    </row>
    <row r="675" spans="1:17" s="109" customFormat="1" ht="30">
      <c r="A675" s="78">
        <v>2216695</v>
      </c>
      <c r="B675" s="92" t="s">
        <v>660</v>
      </c>
      <c r="C675" s="78" t="s">
        <v>19</v>
      </c>
      <c r="D675" s="4" t="s">
        <v>11</v>
      </c>
      <c r="E675" s="79">
        <v>2</v>
      </c>
      <c r="F675" s="11">
        <f>SUM(DistMeetingQuota[[#This Row],[Sep]:[Feb]])</f>
        <v>0</v>
      </c>
      <c r="G675" s="11">
        <f>DistMeetingQuota[[#This Row],[Quota]]-DistMeetingQuota[[#This Row],[Actual]]</f>
        <v>2</v>
      </c>
      <c r="H675" s="80">
        <f>DistMeetingQuota[[#This Row],[Actual]]/DistMeetingQuota[[#This Row],[Quota]]</f>
        <v>0</v>
      </c>
      <c r="I675" s="78"/>
      <c r="J675" s="6"/>
      <c r="K675" s="6"/>
      <c r="L675" s="6"/>
      <c r="M675" s="6"/>
      <c r="N675" s="6"/>
      <c r="O675" s="6"/>
      <c r="P675" s="139" t="s">
        <v>14</v>
      </c>
      <c r="Q675" s="6"/>
    </row>
    <row r="676" spans="1:17" s="109" customFormat="1" ht="30">
      <c r="A676" s="4">
        <v>2213568</v>
      </c>
      <c r="B676" s="5" t="s">
        <v>621</v>
      </c>
      <c r="C676" s="4" t="s">
        <v>19</v>
      </c>
      <c r="D676" s="4" t="s">
        <v>5</v>
      </c>
      <c r="E676" s="53">
        <v>24</v>
      </c>
      <c r="F676" s="11">
        <f>SUM(DistMeetingQuota[[#This Row],[Sep]:[Feb]])</f>
        <v>1</v>
      </c>
      <c r="G676" s="11">
        <f>DistMeetingQuota[[#This Row],[Quota]]-DistMeetingQuota[[#This Row],[Actual]]</f>
        <v>23</v>
      </c>
      <c r="H676" s="49">
        <f>DistMeetingQuota[[#This Row],[Actual]]/DistMeetingQuota[[#This Row],[Quota]]</f>
        <v>4.1666666666666664E-2</v>
      </c>
      <c r="I676" s="4"/>
      <c r="J676" s="2"/>
      <c r="K676" s="2"/>
      <c r="L676" s="2"/>
      <c r="M676" s="2"/>
      <c r="N676" s="2">
        <v>1</v>
      </c>
      <c r="O676" s="2"/>
      <c r="P676" s="139" t="s">
        <v>471</v>
      </c>
      <c r="Q676" s="2"/>
    </row>
    <row r="677" spans="1:17" s="109" customFormat="1" ht="30">
      <c r="A677" s="4">
        <v>2213568</v>
      </c>
      <c r="B677" s="5" t="s">
        <v>621</v>
      </c>
      <c r="C677" s="4" t="s">
        <v>19</v>
      </c>
      <c r="D677" s="4" t="s">
        <v>11</v>
      </c>
      <c r="E677" s="53">
        <v>2</v>
      </c>
      <c r="F677" s="11">
        <f>SUM(DistMeetingQuota[[#This Row],[Sep]:[Feb]])</f>
        <v>1</v>
      </c>
      <c r="G677" s="11">
        <f>DistMeetingQuota[[#This Row],[Quota]]-DistMeetingQuota[[#This Row],[Actual]]</f>
        <v>1</v>
      </c>
      <c r="H677" s="49">
        <f>DistMeetingQuota[[#This Row],[Actual]]/DistMeetingQuota[[#This Row],[Quota]]</f>
        <v>0.5</v>
      </c>
      <c r="I677" s="4"/>
      <c r="J677" s="2"/>
      <c r="K677" s="2"/>
      <c r="L677" s="2"/>
      <c r="M677" s="2">
        <v>1</v>
      </c>
      <c r="N677" s="2"/>
      <c r="O677" s="2"/>
      <c r="P677" s="139" t="s">
        <v>471</v>
      </c>
      <c r="Q677" s="2"/>
    </row>
    <row r="678" spans="1:17" s="109" customFormat="1" ht="30">
      <c r="A678" s="4">
        <v>2108167</v>
      </c>
      <c r="B678" s="5" t="s">
        <v>622</v>
      </c>
      <c r="C678" s="4" t="s">
        <v>19</v>
      </c>
      <c r="D678" s="4" t="s">
        <v>11</v>
      </c>
      <c r="E678" s="53">
        <v>2</v>
      </c>
      <c r="F678" s="11">
        <f>SUM(DistMeetingQuota[[#This Row],[Sep]:[Feb]])</f>
        <v>0</v>
      </c>
      <c r="G678" s="11">
        <f>DistMeetingQuota[[#This Row],[Quota]]-DistMeetingQuota[[#This Row],[Actual]]</f>
        <v>2</v>
      </c>
      <c r="H678" s="49">
        <f>DistMeetingQuota[[#This Row],[Actual]]/DistMeetingQuota[[#This Row],[Quota]]</f>
        <v>0</v>
      </c>
      <c r="I678" s="4"/>
      <c r="J678" s="2"/>
      <c r="K678" s="2"/>
      <c r="L678" s="2"/>
      <c r="M678" s="2"/>
      <c r="N678" s="2"/>
      <c r="O678" s="2"/>
      <c r="P678" s="139" t="s">
        <v>14</v>
      </c>
      <c r="Q678" s="2"/>
    </row>
    <row r="679" spans="1:17" s="109" customFormat="1" ht="30">
      <c r="A679" s="4">
        <v>2141132</v>
      </c>
      <c r="B679" s="5" t="s">
        <v>623</v>
      </c>
      <c r="C679" s="4" t="s">
        <v>19</v>
      </c>
      <c r="D679" s="4" t="s">
        <v>11</v>
      </c>
      <c r="E679" s="53">
        <v>2</v>
      </c>
      <c r="F679" s="11">
        <f>SUM(DistMeetingQuota[[#This Row],[Sep]:[Feb]])</f>
        <v>0</v>
      </c>
      <c r="G679" s="11">
        <f>DistMeetingQuota[[#This Row],[Quota]]-DistMeetingQuota[[#This Row],[Actual]]</f>
        <v>2</v>
      </c>
      <c r="H679" s="49">
        <f>DistMeetingQuota[[#This Row],[Actual]]/DistMeetingQuota[[#This Row],[Quota]]</f>
        <v>0</v>
      </c>
      <c r="I679" s="4"/>
      <c r="J679" s="2"/>
      <c r="K679" s="2"/>
      <c r="L679" s="2"/>
      <c r="M679" s="2"/>
      <c r="N679" s="2"/>
      <c r="O679" s="2"/>
      <c r="P679" s="139" t="s">
        <v>14</v>
      </c>
      <c r="Q679" s="2"/>
    </row>
    <row r="680" spans="1:17" s="109" customFormat="1">
      <c r="A680" s="147">
        <v>2230278</v>
      </c>
      <c r="B680" s="148" t="s">
        <v>625</v>
      </c>
      <c r="C680" s="147" t="s">
        <v>19</v>
      </c>
      <c r="D680" s="147" t="s">
        <v>5</v>
      </c>
      <c r="E680" s="150">
        <v>4</v>
      </c>
      <c r="F680" s="157">
        <f>SUM(DistMeetingQuota[[#This Row],[Sep]:[Feb]])</f>
        <v>0</v>
      </c>
      <c r="G680" s="157">
        <f>DistMeetingQuota[[#This Row],[Quota]]-DistMeetingQuota[[#This Row],[Actual]]</f>
        <v>4</v>
      </c>
      <c r="H680" s="158">
        <f>DistMeetingQuota[[#This Row],[Actual]]/DistMeetingQuota[[#This Row],[Quota]]</f>
        <v>0</v>
      </c>
      <c r="I680" s="147"/>
      <c r="J680" s="152"/>
      <c r="K680" s="152"/>
      <c r="L680" s="152"/>
      <c r="M680" s="152"/>
      <c r="N680" s="152"/>
      <c r="O680" s="152"/>
      <c r="P680" s="139" t="s">
        <v>56</v>
      </c>
      <c r="Q680" s="2"/>
    </row>
    <row r="681" spans="1:17" s="109" customFormat="1">
      <c r="A681" s="78">
        <v>2216828</v>
      </c>
      <c r="B681" s="92" t="s">
        <v>620</v>
      </c>
      <c r="C681" s="78" t="s">
        <v>19</v>
      </c>
      <c r="D681" s="4" t="s">
        <v>11</v>
      </c>
      <c r="E681" s="79">
        <v>2</v>
      </c>
      <c r="F681" s="11">
        <f>SUM(DistMeetingQuota[[#This Row],[Sep]:[Feb]])</f>
        <v>0</v>
      </c>
      <c r="G681" s="11">
        <f>DistMeetingQuota[[#This Row],[Quota]]-DistMeetingQuota[[#This Row],[Actual]]</f>
        <v>2</v>
      </c>
      <c r="H681" s="80">
        <f>DistMeetingQuota[[#This Row],[Actual]]/DistMeetingQuota[[#This Row],[Quota]]</f>
        <v>0</v>
      </c>
      <c r="I681" s="78"/>
      <c r="J681" s="6"/>
      <c r="K681" s="6"/>
      <c r="L681" s="6"/>
      <c r="M681" s="6"/>
      <c r="N681" s="6"/>
      <c r="O681" s="6"/>
      <c r="P681" s="139" t="s">
        <v>14</v>
      </c>
      <c r="Q681" s="6"/>
    </row>
    <row r="682" spans="1:17" s="109" customFormat="1" ht="30">
      <c r="A682" s="78">
        <v>2090588</v>
      </c>
      <c r="B682" s="92" t="s">
        <v>626</v>
      </c>
      <c r="C682" s="78" t="s">
        <v>19</v>
      </c>
      <c r="D682" s="4" t="s">
        <v>11</v>
      </c>
      <c r="E682" s="79">
        <v>2</v>
      </c>
      <c r="F682" s="11">
        <f>SUM(DistMeetingQuota[[#This Row],[Sep]:[Feb]])</f>
        <v>0</v>
      </c>
      <c r="G682" s="11">
        <f>DistMeetingQuota[[#This Row],[Quota]]-DistMeetingQuota[[#This Row],[Actual]]</f>
        <v>2</v>
      </c>
      <c r="H682" s="80">
        <f>DistMeetingQuota[[#This Row],[Actual]]/DistMeetingQuota[[#This Row],[Quota]]</f>
        <v>0</v>
      </c>
      <c r="I682" s="78"/>
      <c r="J682" s="6"/>
      <c r="K682" s="6"/>
      <c r="L682" s="6"/>
      <c r="M682" s="6"/>
      <c r="N682" s="6"/>
      <c r="O682" s="6"/>
      <c r="P682" s="120" t="s">
        <v>10</v>
      </c>
      <c r="Q682" s="6"/>
    </row>
    <row r="683" spans="1:17" s="109" customFormat="1" ht="30">
      <c r="A683" s="4">
        <v>2282582</v>
      </c>
      <c r="B683" s="5" t="s">
        <v>627</v>
      </c>
      <c r="C683" s="4" t="s">
        <v>19</v>
      </c>
      <c r="D683" s="4" t="s">
        <v>5</v>
      </c>
      <c r="E683" s="53">
        <v>24</v>
      </c>
      <c r="F683" s="11">
        <f>SUM(DistMeetingQuota[[#This Row],[Sep]:[Feb]])</f>
        <v>10</v>
      </c>
      <c r="G683" s="11">
        <f>DistMeetingQuota[[#This Row],[Quota]]-DistMeetingQuota[[#This Row],[Actual]]</f>
        <v>14</v>
      </c>
      <c r="H683" s="49">
        <f>DistMeetingQuota[[#This Row],[Actual]]/DistMeetingQuota[[#This Row],[Quota]]</f>
        <v>0.41666666666666669</v>
      </c>
      <c r="I683" s="4"/>
      <c r="J683" s="2"/>
      <c r="K683" s="2"/>
      <c r="L683" s="2">
        <v>4</v>
      </c>
      <c r="M683" s="2">
        <v>2</v>
      </c>
      <c r="N683" s="2">
        <v>4</v>
      </c>
      <c r="O683" s="2"/>
      <c r="P683" s="120" t="s">
        <v>628</v>
      </c>
      <c r="Q683" s="2"/>
    </row>
    <row r="684" spans="1:17" s="109" customFormat="1" ht="30">
      <c r="A684" s="4">
        <v>2193545</v>
      </c>
      <c r="B684" s="5" t="s">
        <v>629</v>
      </c>
      <c r="C684" s="4" t="s">
        <v>19</v>
      </c>
      <c r="D684" s="4" t="s">
        <v>5</v>
      </c>
      <c r="E684" s="53">
        <v>24</v>
      </c>
      <c r="F684" s="11">
        <f>SUM(DistMeetingQuota[[#This Row],[Sep]:[Feb]])</f>
        <v>0</v>
      </c>
      <c r="G684" s="11">
        <f>DistMeetingQuota[[#This Row],[Quota]]-DistMeetingQuota[[#This Row],[Actual]]</f>
        <v>24</v>
      </c>
      <c r="H684" s="49">
        <f>DistMeetingQuota[[#This Row],[Actual]]/DistMeetingQuota[[#This Row],[Quota]]</f>
        <v>0</v>
      </c>
      <c r="I684" s="4"/>
      <c r="J684" s="2"/>
      <c r="K684" s="2"/>
      <c r="L684" s="2"/>
      <c r="M684" s="2"/>
      <c r="N684" s="2"/>
      <c r="O684" s="2"/>
      <c r="P684" s="120"/>
      <c r="Q684" s="2"/>
    </row>
    <row r="685" spans="1:17" s="109" customFormat="1">
      <c r="A685" s="4">
        <v>2178103</v>
      </c>
      <c r="B685" s="5" t="s">
        <v>630</v>
      </c>
      <c r="C685" s="4" t="s">
        <v>19</v>
      </c>
      <c r="D685" s="4" t="s">
        <v>5</v>
      </c>
      <c r="E685" s="53">
        <v>24</v>
      </c>
      <c r="F685" s="11">
        <f>SUM(DistMeetingQuota[[#This Row],[Sep]:[Feb]])</f>
        <v>0</v>
      </c>
      <c r="G685" s="11">
        <f>DistMeetingQuota[[#This Row],[Quota]]-DistMeetingQuota[[#This Row],[Actual]]</f>
        <v>24</v>
      </c>
      <c r="H685" s="49">
        <f>DistMeetingQuota[[#This Row],[Actual]]/DistMeetingQuota[[#This Row],[Quota]]</f>
        <v>0</v>
      </c>
      <c r="I685" s="4"/>
      <c r="J685" s="2"/>
      <c r="K685" s="2"/>
      <c r="L685" s="2"/>
      <c r="M685" s="2"/>
      <c r="N685" s="2"/>
      <c r="O685" s="2"/>
      <c r="P685" s="120"/>
      <c r="Q685" s="2"/>
    </row>
    <row r="686" spans="1:17" s="109" customFormat="1" ht="30">
      <c r="A686" s="4">
        <v>2195562</v>
      </c>
      <c r="B686" s="5" t="s">
        <v>631</v>
      </c>
      <c r="C686" s="4" t="s">
        <v>19</v>
      </c>
      <c r="D686" s="4" t="s">
        <v>5</v>
      </c>
      <c r="E686" s="53">
        <v>24</v>
      </c>
      <c r="F686" s="11">
        <f>SUM(DistMeetingQuota[[#This Row],[Sep]:[Feb]])</f>
        <v>0</v>
      </c>
      <c r="G686" s="11">
        <f>DistMeetingQuota[[#This Row],[Quota]]-DistMeetingQuota[[#This Row],[Actual]]</f>
        <v>24</v>
      </c>
      <c r="H686" s="49">
        <f>DistMeetingQuota[[#This Row],[Actual]]/DistMeetingQuota[[#This Row],[Quota]]</f>
        <v>0</v>
      </c>
      <c r="I686" s="4"/>
      <c r="J686" s="2"/>
      <c r="K686" s="2"/>
      <c r="L686" s="2"/>
      <c r="M686" s="2"/>
      <c r="N686" s="2"/>
      <c r="O686" s="2"/>
      <c r="P686" s="120"/>
      <c r="Q686" s="2"/>
    </row>
    <row r="687" spans="1:17" s="109" customFormat="1" ht="30">
      <c r="A687" s="4">
        <v>2195562</v>
      </c>
      <c r="B687" s="5" t="s">
        <v>631</v>
      </c>
      <c r="C687" s="4" t="s">
        <v>19</v>
      </c>
      <c r="D687" s="4" t="s">
        <v>11</v>
      </c>
      <c r="E687" s="53">
        <v>2</v>
      </c>
      <c r="F687" s="11">
        <f>SUM(DistMeetingQuota[[#This Row],[Sep]:[Feb]])</f>
        <v>2</v>
      </c>
      <c r="G687" s="11">
        <f>DistMeetingQuota[[#This Row],[Quota]]-DistMeetingQuota[[#This Row],[Actual]]</f>
        <v>0</v>
      </c>
      <c r="H687" s="49">
        <f>DistMeetingQuota[[#This Row],[Actual]]/DistMeetingQuota[[#This Row],[Quota]]</f>
        <v>1</v>
      </c>
      <c r="I687" s="4"/>
      <c r="J687" s="2"/>
      <c r="K687" s="2"/>
      <c r="L687" s="2">
        <v>1</v>
      </c>
      <c r="M687" s="2">
        <v>1</v>
      </c>
      <c r="N687" s="2"/>
      <c r="O687" s="2"/>
      <c r="P687" s="120"/>
      <c r="Q687" s="2"/>
    </row>
    <row r="688" spans="1:17" s="109" customFormat="1" ht="30">
      <c r="A688" s="4">
        <v>2194060</v>
      </c>
      <c r="B688" s="5" t="s">
        <v>632</v>
      </c>
      <c r="C688" s="4" t="s">
        <v>19</v>
      </c>
      <c r="D688" s="4" t="s">
        <v>5</v>
      </c>
      <c r="E688" s="53">
        <v>24</v>
      </c>
      <c r="F688" s="11">
        <f>SUM(DistMeetingQuota[[#This Row],[Sep]:[Feb]])</f>
        <v>1</v>
      </c>
      <c r="G688" s="11">
        <f>DistMeetingQuota[[#This Row],[Quota]]-DistMeetingQuota[[#This Row],[Actual]]</f>
        <v>23</v>
      </c>
      <c r="H688" s="49">
        <f>DistMeetingQuota[[#This Row],[Actual]]/DistMeetingQuota[[#This Row],[Quota]]</f>
        <v>4.1666666666666664E-2</v>
      </c>
      <c r="I688" s="4">
        <v>1</v>
      </c>
      <c r="J688" s="2"/>
      <c r="K688" s="2"/>
      <c r="L688" s="2"/>
      <c r="M688" s="2"/>
      <c r="N688" s="2"/>
      <c r="O688" s="2"/>
      <c r="P688" s="120"/>
      <c r="Q688" s="2"/>
    </row>
    <row r="689" spans="1:17" s="109" customFormat="1" ht="30">
      <c r="A689" s="4">
        <v>2216320</v>
      </c>
      <c r="B689" s="5" t="s">
        <v>633</v>
      </c>
      <c r="C689" s="4" t="s">
        <v>19</v>
      </c>
      <c r="D689" s="4" t="s">
        <v>11</v>
      </c>
      <c r="E689" s="53">
        <v>2</v>
      </c>
      <c r="F689" s="11">
        <f>SUM(DistMeetingQuota[[#This Row],[Sep]:[Feb]])</f>
        <v>0</v>
      </c>
      <c r="G689" s="11">
        <f>DistMeetingQuota[[#This Row],[Quota]]-DistMeetingQuota[[#This Row],[Actual]]</f>
        <v>2</v>
      </c>
      <c r="H689" s="49">
        <f>DistMeetingQuota[[#This Row],[Actual]]/DistMeetingQuota[[#This Row],[Quota]]</f>
        <v>0</v>
      </c>
      <c r="I689" s="4"/>
      <c r="J689" s="2"/>
      <c r="K689" s="2"/>
      <c r="L689" s="2"/>
      <c r="M689" s="2"/>
      <c r="N689" s="2"/>
      <c r="O689" s="2"/>
      <c r="P689" s="120"/>
      <c r="Q689" s="2"/>
    </row>
    <row r="690" spans="1:17" s="109" customFormat="1">
      <c r="A690" s="4">
        <v>2134810</v>
      </c>
      <c r="B690" s="5" t="s">
        <v>634</v>
      </c>
      <c r="C690" s="4" t="s">
        <v>19</v>
      </c>
      <c r="D690" s="4" t="s">
        <v>11</v>
      </c>
      <c r="E690" s="53">
        <v>2</v>
      </c>
      <c r="F690" s="11">
        <f>SUM(DistMeetingQuota[[#This Row],[Sep]:[Feb]])</f>
        <v>0</v>
      </c>
      <c r="G690" s="11">
        <f>DistMeetingQuota[[#This Row],[Quota]]-DistMeetingQuota[[#This Row],[Actual]]</f>
        <v>2</v>
      </c>
      <c r="H690" s="49">
        <f>DistMeetingQuota[[#This Row],[Actual]]/DistMeetingQuota[[#This Row],[Quota]]</f>
        <v>0</v>
      </c>
      <c r="I690" s="4"/>
      <c r="J690" s="2"/>
      <c r="K690" s="2"/>
      <c r="L690" s="2"/>
      <c r="M690" s="2"/>
      <c r="N690" s="2"/>
      <c r="O690" s="2"/>
      <c r="P690" s="120"/>
      <c r="Q690" s="2"/>
    </row>
    <row r="691" spans="1:17" s="109" customFormat="1" ht="30">
      <c r="A691" s="4">
        <v>2205040</v>
      </c>
      <c r="B691" s="5" t="s">
        <v>635</v>
      </c>
      <c r="C691" s="4" t="s">
        <v>19</v>
      </c>
      <c r="D691" s="4" t="s">
        <v>5</v>
      </c>
      <c r="E691" s="53">
        <v>24</v>
      </c>
      <c r="F691" s="11">
        <f>SUM(DistMeetingQuota[[#This Row],[Sep]:[Feb]])</f>
        <v>0</v>
      </c>
      <c r="G691" s="11">
        <f>DistMeetingQuota[[#This Row],[Quota]]-DistMeetingQuota[[#This Row],[Actual]]</f>
        <v>24</v>
      </c>
      <c r="H691" s="49">
        <f>DistMeetingQuota[[#This Row],[Actual]]/DistMeetingQuota[[#This Row],[Quota]]</f>
        <v>0</v>
      </c>
      <c r="I691" s="4"/>
      <c r="J691" s="2"/>
      <c r="K691" s="2"/>
      <c r="L691" s="2"/>
      <c r="M691" s="2"/>
      <c r="N691" s="2"/>
      <c r="O691" s="4"/>
      <c r="P691" s="120" t="s">
        <v>577</v>
      </c>
      <c r="Q691" s="2"/>
    </row>
    <row r="692" spans="1:17" s="109" customFormat="1" ht="30">
      <c r="A692" s="4">
        <v>2205040</v>
      </c>
      <c r="B692" s="5" t="s">
        <v>635</v>
      </c>
      <c r="C692" s="4" t="s">
        <v>19</v>
      </c>
      <c r="D692" s="4" t="s">
        <v>11</v>
      </c>
      <c r="E692" s="53">
        <v>2</v>
      </c>
      <c r="F692" s="11">
        <f>SUM(DistMeetingQuota[[#This Row],[Sep]:[Feb]])</f>
        <v>2</v>
      </c>
      <c r="G692" s="11">
        <f>DistMeetingQuota[[#This Row],[Quota]]-DistMeetingQuota[[#This Row],[Actual]]</f>
        <v>0</v>
      </c>
      <c r="H692" s="49">
        <f>DistMeetingQuota[[#This Row],[Actual]]/DistMeetingQuota[[#This Row],[Quota]]</f>
        <v>1</v>
      </c>
      <c r="I692" s="4"/>
      <c r="J692" s="2"/>
      <c r="K692" s="2"/>
      <c r="L692" s="2"/>
      <c r="M692" s="2"/>
      <c r="N692" s="2">
        <v>2</v>
      </c>
      <c r="O692" s="4"/>
      <c r="P692" s="120" t="s">
        <v>577</v>
      </c>
      <c r="Q692" s="2"/>
    </row>
    <row r="693" spans="1:17" s="109" customFormat="1" ht="30">
      <c r="A693" s="4">
        <v>2224719</v>
      </c>
      <c r="B693" s="5" t="s">
        <v>636</v>
      </c>
      <c r="C693" s="4" t="s">
        <v>19</v>
      </c>
      <c r="D693" s="4" t="s">
        <v>5</v>
      </c>
      <c r="E693" s="53">
        <v>24</v>
      </c>
      <c r="F693" s="11">
        <f>SUM(DistMeetingQuota[[#This Row],[Sep]:[Feb]])</f>
        <v>0</v>
      </c>
      <c r="G693" s="11">
        <f>DistMeetingQuota[[#This Row],[Quota]]-DistMeetingQuota[[#This Row],[Actual]]</f>
        <v>24</v>
      </c>
      <c r="H693" s="49">
        <f>DistMeetingQuota[[#This Row],[Actual]]/DistMeetingQuota[[#This Row],[Quota]]</f>
        <v>0</v>
      </c>
      <c r="I693" s="4"/>
      <c r="J693" s="2"/>
      <c r="K693" s="2"/>
      <c r="L693" s="2"/>
      <c r="M693" s="2"/>
      <c r="N693" s="2"/>
      <c r="O693" s="4"/>
      <c r="P693" s="120" t="s">
        <v>474</v>
      </c>
      <c r="Q693" s="2"/>
    </row>
    <row r="694" spans="1:17" s="109" customFormat="1" ht="30">
      <c r="A694" s="4">
        <v>2224719</v>
      </c>
      <c r="B694" s="5" t="s">
        <v>636</v>
      </c>
      <c r="C694" s="4" t="s">
        <v>19</v>
      </c>
      <c r="D694" s="4" t="s">
        <v>11</v>
      </c>
      <c r="E694" s="53">
        <v>2</v>
      </c>
      <c r="F694" s="11">
        <f>SUM(DistMeetingQuota[[#This Row],[Sep]:[Feb]])</f>
        <v>0</v>
      </c>
      <c r="G694" s="11">
        <f>DistMeetingQuota[[#This Row],[Quota]]-DistMeetingQuota[[#This Row],[Actual]]</f>
        <v>2</v>
      </c>
      <c r="H694" s="49">
        <f>DistMeetingQuota[[#This Row],[Actual]]/DistMeetingQuota[[#This Row],[Quota]]</f>
        <v>0</v>
      </c>
      <c r="I694" s="4"/>
      <c r="J694" s="2"/>
      <c r="K694" s="2"/>
      <c r="L694" s="2"/>
      <c r="M694" s="2"/>
      <c r="N694" s="2"/>
      <c r="O694" s="4"/>
      <c r="P694" s="120" t="s">
        <v>474</v>
      </c>
      <c r="Q694" s="2"/>
    </row>
    <row r="695" spans="1:17" s="109" customFormat="1" ht="30">
      <c r="A695" s="4">
        <v>2277158</v>
      </c>
      <c r="B695" s="5" t="s">
        <v>637</v>
      </c>
      <c r="C695" s="4" t="s">
        <v>19</v>
      </c>
      <c r="D695" s="4" t="s">
        <v>11</v>
      </c>
      <c r="E695" s="53">
        <v>2</v>
      </c>
      <c r="F695" s="11">
        <f>SUM(DistMeetingQuota[[#This Row],[Sep]:[Feb]])</f>
        <v>2</v>
      </c>
      <c r="G695" s="11">
        <f>DistMeetingQuota[[#This Row],[Quota]]-DistMeetingQuota[[#This Row],[Actual]]</f>
        <v>0</v>
      </c>
      <c r="H695" s="49">
        <f>DistMeetingQuota[[#This Row],[Actual]]/DistMeetingQuota[[#This Row],[Quota]]</f>
        <v>1</v>
      </c>
      <c r="I695" s="4"/>
      <c r="J695" s="2"/>
      <c r="K695" s="2">
        <v>2</v>
      </c>
      <c r="L695" s="2"/>
      <c r="M695" s="2"/>
      <c r="N695" s="2"/>
      <c r="O695" s="4"/>
      <c r="P695" s="120" t="s">
        <v>474</v>
      </c>
      <c r="Q695" s="2"/>
    </row>
    <row r="696" spans="1:17" s="109" customFormat="1" ht="30">
      <c r="A696" s="4">
        <v>2088516</v>
      </c>
      <c r="B696" s="5" t="s">
        <v>638</v>
      </c>
      <c r="C696" s="4" t="s">
        <v>19</v>
      </c>
      <c r="D696" s="4" t="s">
        <v>5</v>
      </c>
      <c r="E696" s="53">
        <v>24</v>
      </c>
      <c r="F696" s="11">
        <f>SUM(DistMeetingQuota[[#This Row],[Sep]:[Feb]])</f>
        <v>10</v>
      </c>
      <c r="G696" s="11">
        <f>DistMeetingQuota[[#This Row],[Quota]]-DistMeetingQuota[[#This Row],[Actual]]</f>
        <v>14</v>
      </c>
      <c r="H696" s="49">
        <f>DistMeetingQuota[[#This Row],[Actual]]/DistMeetingQuota[[#This Row],[Quota]]</f>
        <v>0.41666666666666669</v>
      </c>
      <c r="I696" s="4">
        <v>4</v>
      </c>
      <c r="J696" s="2">
        <v>4</v>
      </c>
      <c r="K696" s="2"/>
      <c r="L696" s="2"/>
      <c r="M696" s="2"/>
      <c r="N696" s="2">
        <v>2</v>
      </c>
      <c r="O696" s="2"/>
      <c r="P696" s="120"/>
      <c r="Q696" s="2"/>
    </row>
    <row r="697" spans="1:17" s="109" customFormat="1" ht="30">
      <c r="A697" s="4">
        <v>2330630</v>
      </c>
      <c r="B697" s="5" t="s">
        <v>639</v>
      </c>
      <c r="C697" s="4" t="s">
        <v>19</v>
      </c>
      <c r="D697" s="4" t="s">
        <v>11</v>
      </c>
      <c r="E697" s="53">
        <v>2</v>
      </c>
      <c r="F697" s="11">
        <f>SUM(DistMeetingQuota[[#This Row],[Sep]:[Feb]])</f>
        <v>0</v>
      </c>
      <c r="G697" s="11">
        <f>DistMeetingQuota[[#This Row],[Quota]]-DistMeetingQuota[[#This Row],[Actual]]</f>
        <v>2</v>
      </c>
      <c r="H697" s="49">
        <f>DistMeetingQuota[[#This Row],[Actual]]/DistMeetingQuota[[#This Row],[Quota]]</f>
        <v>0</v>
      </c>
      <c r="I697" s="4"/>
      <c r="J697" s="2"/>
      <c r="K697" s="2"/>
      <c r="L697" s="2"/>
      <c r="M697" s="2"/>
      <c r="N697" s="2"/>
      <c r="O697" s="2"/>
      <c r="P697" s="120"/>
      <c r="Q697" s="2"/>
    </row>
    <row r="698" spans="1:17" s="109" customFormat="1" ht="30">
      <c r="A698" s="4">
        <v>2277158</v>
      </c>
      <c r="B698" s="5" t="s">
        <v>637</v>
      </c>
      <c r="C698" s="4" t="s">
        <v>19</v>
      </c>
      <c r="D698" s="4" t="s">
        <v>5</v>
      </c>
      <c r="E698" s="53">
        <v>24</v>
      </c>
      <c r="F698" s="11">
        <f>SUM(DistMeetingQuota[[#This Row],[Sep]:[Feb]])</f>
        <v>10</v>
      </c>
      <c r="G698" s="11">
        <f>DistMeetingQuota[[#This Row],[Quota]]-DistMeetingQuota[[#This Row],[Actual]]</f>
        <v>14</v>
      </c>
      <c r="H698" s="49">
        <f>DistMeetingQuota[[#This Row],[Actual]]/DistMeetingQuota[[#This Row],[Quota]]</f>
        <v>0.41666666666666669</v>
      </c>
      <c r="I698" s="4"/>
      <c r="J698" s="2"/>
      <c r="K698" s="2"/>
      <c r="L698" s="2">
        <v>4</v>
      </c>
      <c r="M698" s="2"/>
      <c r="N698" s="2">
        <v>6</v>
      </c>
      <c r="O698" s="4"/>
      <c r="P698" s="120" t="s">
        <v>474</v>
      </c>
      <c r="Q698" s="2"/>
    </row>
    <row r="699" spans="1:17" s="109" customFormat="1" ht="30">
      <c r="A699" s="4">
        <v>2205068</v>
      </c>
      <c r="B699" s="5" t="s">
        <v>641</v>
      </c>
      <c r="C699" s="4" t="s">
        <v>19</v>
      </c>
      <c r="D699" s="4" t="s">
        <v>5</v>
      </c>
      <c r="E699" s="53">
        <v>24</v>
      </c>
      <c r="F699" s="11">
        <f>SUM(DistMeetingQuota[[#This Row],[Sep]:[Feb]])</f>
        <v>0</v>
      </c>
      <c r="G699" s="11">
        <f>DistMeetingQuota[[#This Row],[Quota]]-DistMeetingQuota[[#This Row],[Actual]]</f>
        <v>24</v>
      </c>
      <c r="H699" s="49">
        <f>DistMeetingQuota[[#This Row],[Actual]]/DistMeetingQuota[[#This Row],[Quota]]</f>
        <v>0</v>
      </c>
      <c r="I699" s="4"/>
      <c r="J699" s="2"/>
      <c r="K699" s="2"/>
      <c r="L699" s="2"/>
      <c r="M699" s="2"/>
      <c r="N699" s="2"/>
      <c r="O699" s="2"/>
      <c r="P699" s="120"/>
      <c r="Q699" s="2"/>
    </row>
    <row r="700" spans="1:17" s="109" customFormat="1" ht="30">
      <c r="A700" s="4">
        <v>2396712</v>
      </c>
      <c r="B700" s="5" t="s">
        <v>642</v>
      </c>
      <c r="C700" s="4" t="s">
        <v>21</v>
      </c>
      <c r="D700" s="4" t="s">
        <v>11</v>
      </c>
      <c r="E700" s="53">
        <v>3</v>
      </c>
      <c r="F700" s="11">
        <f>SUM(DistMeetingQuota[[#This Row],[Sep]:[Feb]])</f>
        <v>0</v>
      </c>
      <c r="G700" s="11">
        <f>DistMeetingQuota[[#This Row],[Quota]]-DistMeetingQuota[[#This Row],[Actual]]</f>
        <v>3</v>
      </c>
      <c r="H700" s="49">
        <f>DistMeetingQuota[[#This Row],[Actual]]/DistMeetingQuota[[#This Row],[Quota]]</f>
        <v>0</v>
      </c>
      <c r="I700" s="4"/>
      <c r="J700" s="2"/>
      <c r="K700" s="2"/>
      <c r="L700" s="2"/>
      <c r="M700" s="2"/>
      <c r="N700" s="2"/>
      <c r="O700" s="2"/>
      <c r="P700" s="120"/>
      <c r="Q700" s="2"/>
    </row>
    <row r="701" spans="1:17" s="109" customFormat="1" ht="30">
      <c r="A701" s="4">
        <v>2396712</v>
      </c>
      <c r="B701" s="5" t="s">
        <v>642</v>
      </c>
      <c r="C701" s="4" t="s">
        <v>21</v>
      </c>
      <c r="D701" s="4" t="s">
        <v>13</v>
      </c>
      <c r="E701" s="53">
        <v>2</v>
      </c>
      <c r="F701" s="11">
        <f>SUM(DistMeetingQuota[[#This Row],[Sep]:[Feb]])</f>
        <v>2</v>
      </c>
      <c r="G701" s="11">
        <f>DistMeetingQuota[[#This Row],[Quota]]-DistMeetingQuota[[#This Row],[Actual]]</f>
        <v>0</v>
      </c>
      <c r="H701" s="49">
        <f>DistMeetingQuota[[#This Row],[Actual]]/DistMeetingQuota[[#This Row],[Quota]]</f>
        <v>1</v>
      </c>
      <c r="I701" s="4"/>
      <c r="J701" s="2">
        <v>2</v>
      </c>
      <c r="K701" s="2"/>
      <c r="L701" s="2"/>
      <c r="M701" s="2"/>
      <c r="N701" s="2"/>
      <c r="O701" s="2"/>
      <c r="P701" s="120"/>
      <c r="Q701" s="2"/>
    </row>
    <row r="702" spans="1:17" s="109" customFormat="1" ht="30">
      <c r="A702" s="4">
        <v>2218297</v>
      </c>
      <c r="B702" s="5" t="s">
        <v>643</v>
      </c>
      <c r="C702" s="4" t="s">
        <v>21</v>
      </c>
      <c r="D702" s="4" t="s">
        <v>11</v>
      </c>
      <c r="E702" s="53">
        <v>3</v>
      </c>
      <c r="F702" s="11">
        <f>SUM(DistMeetingQuota[[#This Row],[Sep]:[Feb]])</f>
        <v>0</v>
      </c>
      <c r="G702" s="11">
        <f>DistMeetingQuota[[#This Row],[Quota]]-DistMeetingQuota[[#This Row],[Actual]]</f>
        <v>3</v>
      </c>
      <c r="H702" s="49">
        <f>DistMeetingQuota[[#This Row],[Actual]]/DistMeetingQuota[[#This Row],[Quota]]</f>
        <v>0</v>
      </c>
      <c r="I702" s="4"/>
      <c r="J702" s="2"/>
      <c r="K702" s="2"/>
      <c r="L702" s="2"/>
      <c r="M702" s="2"/>
      <c r="N702" s="2"/>
      <c r="O702" s="2"/>
      <c r="P702" s="139" t="s">
        <v>14</v>
      </c>
      <c r="Q702" s="2"/>
    </row>
    <row r="703" spans="1:17" s="109" customFormat="1" ht="30">
      <c r="A703" s="4">
        <v>2218297</v>
      </c>
      <c r="B703" s="5" t="s">
        <v>643</v>
      </c>
      <c r="C703" s="4" t="s">
        <v>21</v>
      </c>
      <c r="D703" s="4" t="s">
        <v>13</v>
      </c>
      <c r="E703" s="53">
        <v>2</v>
      </c>
      <c r="F703" s="11">
        <f>SUM(DistMeetingQuota[[#This Row],[Sep]:[Feb]])</f>
        <v>2</v>
      </c>
      <c r="G703" s="11">
        <f>DistMeetingQuota[[#This Row],[Quota]]-DistMeetingQuota[[#This Row],[Actual]]</f>
        <v>0</v>
      </c>
      <c r="H703" s="49">
        <f>DistMeetingQuota[[#This Row],[Actual]]/DistMeetingQuota[[#This Row],[Quota]]</f>
        <v>1</v>
      </c>
      <c r="I703" s="4"/>
      <c r="J703" s="2">
        <v>2</v>
      </c>
      <c r="K703" s="2"/>
      <c r="L703" s="2"/>
      <c r="M703" s="2"/>
      <c r="N703" s="2"/>
      <c r="O703" s="2"/>
      <c r="P703" s="139" t="s">
        <v>14</v>
      </c>
      <c r="Q703" s="2"/>
    </row>
    <row r="704" spans="1:17" s="109" customFormat="1" ht="30">
      <c r="A704" s="4">
        <v>2287342</v>
      </c>
      <c r="B704" s="5" t="s">
        <v>644</v>
      </c>
      <c r="C704" s="4" t="s">
        <v>19</v>
      </c>
      <c r="D704" s="4" t="s">
        <v>11</v>
      </c>
      <c r="E704" s="53">
        <v>2</v>
      </c>
      <c r="F704" s="11">
        <f>SUM(DistMeetingQuota[[#This Row],[Sep]:[Feb]])</f>
        <v>0</v>
      </c>
      <c r="G704" s="11">
        <f>DistMeetingQuota[[#This Row],[Quota]]-DistMeetingQuota[[#This Row],[Actual]]</f>
        <v>2</v>
      </c>
      <c r="H704" s="49">
        <f>DistMeetingQuota[[#This Row],[Actual]]/DistMeetingQuota[[#This Row],[Quota]]</f>
        <v>0</v>
      </c>
      <c r="I704" s="4"/>
      <c r="J704" s="2"/>
      <c r="K704" s="2"/>
      <c r="L704" s="2"/>
      <c r="M704" s="2"/>
      <c r="N704" s="2"/>
      <c r="O704" s="2"/>
      <c r="P704" s="120"/>
      <c r="Q704" s="2"/>
    </row>
    <row r="705" spans="1:17" s="109" customFormat="1" ht="30">
      <c r="A705" s="4">
        <v>2338323</v>
      </c>
      <c r="B705" s="5" t="s">
        <v>645</v>
      </c>
      <c r="C705" s="4" t="s">
        <v>36</v>
      </c>
      <c r="D705" s="4" t="s">
        <v>5</v>
      </c>
      <c r="E705" s="53">
        <v>24</v>
      </c>
      <c r="F705" s="11">
        <f>SUM(DistMeetingQuota[[#This Row],[Sep]:[Feb]])</f>
        <v>17</v>
      </c>
      <c r="G705" s="11">
        <f>DistMeetingQuota[[#This Row],[Quota]]-DistMeetingQuota[[#This Row],[Actual]]</f>
        <v>7</v>
      </c>
      <c r="H705" s="49">
        <f>DistMeetingQuota[[#This Row],[Actual]]/DistMeetingQuota[[#This Row],[Quota]]</f>
        <v>0.70833333333333337</v>
      </c>
      <c r="I705" s="4">
        <v>3</v>
      </c>
      <c r="J705" s="2"/>
      <c r="K705" s="2">
        <v>2</v>
      </c>
      <c r="L705" s="2">
        <v>4</v>
      </c>
      <c r="M705" s="2">
        <v>4</v>
      </c>
      <c r="N705" s="2">
        <v>4</v>
      </c>
      <c r="O705" s="2"/>
      <c r="P705" s="139" t="s">
        <v>471</v>
      </c>
      <c r="Q705" s="2"/>
    </row>
    <row r="706" spans="1:17" s="109" customFormat="1" ht="30">
      <c r="A706" s="4">
        <v>2338323</v>
      </c>
      <c r="B706" s="5" t="s">
        <v>645</v>
      </c>
      <c r="C706" s="4" t="s">
        <v>36</v>
      </c>
      <c r="D706" s="4" t="s">
        <v>11</v>
      </c>
      <c r="E706" s="53">
        <v>2</v>
      </c>
      <c r="F706" s="11">
        <f>SUM(DistMeetingQuota[[#This Row],[Sep]:[Feb]])</f>
        <v>0</v>
      </c>
      <c r="G706" s="11">
        <f>DistMeetingQuota[[#This Row],[Quota]]-DistMeetingQuota[[#This Row],[Actual]]</f>
        <v>2</v>
      </c>
      <c r="H706" s="49">
        <f>DistMeetingQuota[[#This Row],[Actual]]/DistMeetingQuota[[#This Row],[Quota]]</f>
        <v>0</v>
      </c>
      <c r="I706" s="4"/>
      <c r="J706" s="2"/>
      <c r="K706" s="2"/>
      <c r="L706" s="2"/>
      <c r="M706" s="2"/>
      <c r="N706" s="2"/>
      <c r="O706" s="2"/>
      <c r="P706" s="139" t="s">
        <v>471</v>
      </c>
      <c r="Q706" s="2"/>
    </row>
    <row r="707" spans="1:17" s="109" customFormat="1" ht="30">
      <c r="A707" s="4">
        <v>2332210</v>
      </c>
      <c r="B707" s="5" t="s">
        <v>646</v>
      </c>
      <c r="C707" s="4" t="s">
        <v>19</v>
      </c>
      <c r="D707" s="4" t="s">
        <v>11</v>
      </c>
      <c r="E707" s="53">
        <v>2</v>
      </c>
      <c r="F707" s="11">
        <f>SUM(DistMeetingQuota[[#This Row],[Sep]:[Feb]])</f>
        <v>0</v>
      </c>
      <c r="G707" s="11">
        <f>DistMeetingQuota[[#This Row],[Quota]]-DistMeetingQuota[[#This Row],[Actual]]</f>
        <v>2</v>
      </c>
      <c r="H707" s="49">
        <f>DistMeetingQuota[[#This Row],[Actual]]/DistMeetingQuota[[#This Row],[Quota]]</f>
        <v>0</v>
      </c>
      <c r="I707" s="4"/>
      <c r="J707" s="2"/>
      <c r="K707" s="2"/>
      <c r="L707" s="2"/>
      <c r="M707" s="2"/>
      <c r="N707" s="2"/>
      <c r="O707" s="2"/>
      <c r="P707" s="120"/>
      <c r="Q707" s="2"/>
    </row>
    <row r="708" spans="1:17" s="109" customFormat="1" ht="30">
      <c r="A708" s="4">
        <v>2111884</v>
      </c>
      <c r="B708" s="5" t="s">
        <v>647</v>
      </c>
      <c r="C708" s="4" t="s">
        <v>19</v>
      </c>
      <c r="D708" s="4" t="s">
        <v>11</v>
      </c>
      <c r="E708" s="53">
        <v>2</v>
      </c>
      <c r="F708" s="11">
        <f>SUM(DistMeetingQuota[[#This Row],[Sep]:[Feb]])</f>
        <v>0</v>
      </c>
      <c r="G708" s="11">
        <f>DistMeetingQuota[[#This Row],[Quota]]-DistMeetingQuota[[#This Row],[Actual]]</f>
        <v>2</v>
      </c>
      <c r="H708" s="49">
        <f>DistMeetingQuota[[#This Row],[Actual]]/DistMeetingQuota[[#This Row],[Quota]]</f>
        <v>0</v>
      </c>
      <c r="I708" s="4"/>
      <c r="J708" s="2"/>
      <c r="K708" s="2"/>
      <c r="L708" s="2"/>
      <c r="M708" s="2"/>
      <c r="N708" s="2"/>
      <c r="O708" s="2"/>
      <c r="P708" s="120"/>
      <c r="Q708" s="2"/>
    </row>
    <row r="709" spans="1:17" s="109" customFormat="1" ht="30">
      <c r="A709" s="4">
        <v>2395267</v>
      </c>
      <c r="B709" s="5" t="s">
        <v>648</v>
      </c>
      <c r="C709" s="4" t="s">
        <v>19</v>
      </c>
      <c r="D709" s="4" t="s">
        <v>11</v>
      </c>
      <c r="E709" s="53">
        <v>2</v>
      </c>
      <c r="F709" s="11">
        <f>SUM(DistMeetingQuota[[#This Row],[Sep]:[Feb]])</f>
        <v>0</v>
      </c>
      <c r="G709" s="11">
        <f>DistMeetingQuota[[#This Row],[Quota]]-DistMeetingQuota[[#This Row],[Actual]]</f>
        <v>2</v>
      </c>
      <c r="H709" s="49">
        <f>DistMeetingQuota[[#This Row],[Actual]]/DistMeetingQuota[[#This Row],[Quota]]</f>
        <v>0</v>
      </c>
      <c r="I709" s="4"/>
      <c r="J709" s="2"/>
      <c r="K709" s="2"/>
      <c r="L709" s="2"/>
      <c r="M709" s="2"/>
      <c r="N709" s="2"/>
      <c r="O709" s="2"/>
      <c r="P709" s="120"/>
      <c r="Q709" s="2"/>
    </row>
    <row r="710" spans="1:17" s="109" customFormat="1" ht="30">
      <c r="A710" s="4">
        <v>2129990</v>
      </c>
      <c r="B710" s="5" t="s">
        <v>649</v>
      </c>
      <c r="C710" s="4" t="s">
        <v>19</v>
      </c>
      <c r="D710" s="4" t="s">
        <v>11</v>
      </c>
      <c r="E710" s="53">
        <v>2</v>
      </c>
      <c r="F710" s="11">
        <f>SUM(DistMeetingQuota[[#This Row],[Sep]:[Feb]])</f>
        <v>0</v>
      </c>
      <c r="G710" s="11">
        <f>DistMeetingQuota[[#This Row],[Quota]]-DistMeetingQuota[[#This Row],[Actual]]</f>
        <v>2</v>
      </c>
      <c r="H710" s="49">
        <f>DistMeetingQuota[[#This Row],[Actual]]/DistMeetingQuota[[#This Row],[Quota]]</f>
        <v>0</v>
      </c>
      <c r="I710" s="4"/>
      <c r="J710" s="2"/>
      <c r="K710" s="2"/>
      <c r="L710" s="2"/>
      <c r="M710" s="2"/>
      <c r="N710" s="2"/>
      <c r="O710" s="2"/>
      <c r="P710" s="120"/>
      <c r="Q710" s="2"/>
    </row>
    <row r="711" spans="1:17" s="109" customFormat="1" ht="30">
      <c r="A711" s="4">
        <v>2190235</v>
      </c>
      <c r="B711" s="5" t="s">
        <v>651</v>
      </c>
      <c r="C711" s="4" t="s">
        <v>19</v>
      </c>
      <c r="D711" s="4" t="s">
        <v>11</v>
      </c>
      <c r="E711" s="53">
        <v>2</v>
      </c>
      <c r="F711" s="11">
        <f>SUM(DistMeetingQuota[[#This Row],[Sep]:[Feb]])</f>
        <v>0</v>
      </c>
      <c r="G711" s="11">
        <f>DistMeetingQuota[[#This Row],[Quota]]-DistMeetingQuota[[#This Row],[Actual]]</f>
        <v>2</v>
      </c>
      <c r="H711" s="49">
        <f>DistMeetingQuota[[#This Row],[Actual]]/DistMeetingQuota[[#This Row],[Quota]]</f>
        <v>0</v>
      </c>
      <c r="I711" s="4"/>
      <c r="J711" s="2"/>
      <c r="K711" s="2"/>
      <c r="L711" s="2"/>
      <c r="M711" s="2"/>
      <c r="N711" s="2"/>
      <c r="O711" s="2"/>
      <c r="P711" s="120" t="s">
        <v>57</v>
      </c>
      <c r="Q711" s="2"/>
    </row>
    <row r="712" spans="1:17" s="109" customFormat="1" ht="30">
      <c r="A712" s="4">
        <v>2319007</v>
      </c>
      <c r="B712" s="5" t="s">
        <v>652</v>
      </c>
      <c r="C712" s="4" t="s">
        <v>19</v>
      </c>
      <c r="D712" s="4" t="s">
        <v>5</v>
      </c>
      <c r="E712" s="53">
        <v>24</v>
      </c>
      <c r="F712" s="11">
        <f>SUM(DistMeetingQuota[[#This Row],[Sep]:[Feb]])</f>
        <v>10</v>
      </c>
      <c r="G712" s="11">
        <f>DistMeetingQuota[[#This Row],[Quota]]-DistMeetingQuota[[#This Row],[Actual]]</f>
        <v>14</v>
      </c>
      <c r="H712" s="49">
        <f>DistMeetingQuota[[#This Row],[Actual]]/DistMeetingQuota[[#This Row],[Quota]]</f>
        <v>0.41666666666666669</v>
      </c>
      <c r="I712" s="4">
        <v>2</v>
      </c>
      <c r="J712" s="2">
        <v>2</v>
      </c>
      <c r="K712" s="2">
        <v>2</v>
      </c>
      <c r="L712" s="2">
        <v>2</v>
      </c>
      <c r="M712" s="2">
        <v>2</v>
      </c>
      <c r="N712" s="2"/>
      <c r="O712" s="2"/>
      <c r="P712" s="120"/>
      <c r="Q712" s="2"/>
    </row>
    <row r="713" spans="1:17" s="109" customFormat="1" ht="30">
      <c r="A713" s="4">
        <v>2319007</v>
      </c>
      <c r="B713" s="5" t="s">
        <v>652</v>
      </c>
      <c r="C713" s="4" t="s">
        <v>19</v>
      </c>
      <c r="D713" s="4" t="s">
        <v>11</v>
      </c>
      <c r="E713" s="53">
        <v>2</v>
      </c>
      <c r="F713" s="11">
        <f>SUM(DistMeetingQuota[[#This Row],[Sep]:[Feb]])</f>
        <v>1</v>
      </c>
      <c r="G713" s="11">
        <f>DistMeetingQuota[[#This Row],[Quota]]-DistMeetingQuota[[#This Row],[Actual]]</f>
        <v>1</v>
      </c>
      <c r="H713" s="49">
        <f>DistMeetingQuota[[#This Row],[Actual]]/DistMeetingQuota[[#This Row],[Quota]]</f>
        <v>0.5</v>
      </c>
      <c r="I713" s="4"/>
      <c r="J713" s="2"/>
      <c r="K713" s="2"/>
      <c r="L713" s="2">
        <v>1</v>
      </c>
      <c r="M713" s="2"/>
      <c r="N713" s="2"/>
      <c r="O713" s="2"/>
      <c r="P713" s="120"/>
      <c r="Q713" s="2"/>
    </row>
    <row r="714" spans="1:17" s="154" customFormat="1" ht="30">
      <c r="A714" s="147">
        <v>2182556</v>
      </c>
      <c r="B714" s="148" t="s">
        <v>653</v>
      </c>
      <c r="C714" s="147" t="s">
        <v>21</v>
      </c>
      <c r="D714" s="147" t="s">
        <v>11</v>
      </c>
      <c r="E714" s="150">
        <v>0</v>
      </c>
      <c r="F714" s="157">
        <f>SUM(DistMeetingQuota[[#This Row],[Sep]:[Feb]])</f>
        <v>0</v>
      </c>
      <c r="G714" s="157">
        <f>DistMeetingQuota[[#This Row],[Quota]]-DistMeetingQuota[[#This Row],[Actual]]</f>
        <v>0</v>
      </c>
      <c r="H714" s="158" t="e">
        <f>DistMeetingQuota[[#This Row],[Actual]]/DistMeetingQuota[[#This Row],[Quota]]</f>
        <v>#DIV/0!</v>
      </c>
      <c r="I714" s="147"/>
      <c r="J714" s="152"/>
      <c r="K714" s="152"/>
      <c r="L714" s="152"/>
      <c r="M714" s="152"/>
      <c r="N714" s="152"/>
      <c r="O714" s="152" t="s">
        <v>900</v>
      </c>
      <c r="P714" s="246"/>
      <c r="Q714" s="152"/>
    </row>
    <row r="715" spans="1:17" s="109" customFormat="1" ht="30">
      <c r="A715" s="4">
        <v>2069624</v>
      </c>
      <c r="B715" s="5" t="s">
        <v>661</v>
      </c>
      <c r="C715" s="4" t="s">
        <v>19</v>
      </c>
      <c r="D715" s="4" t="s">
        <v>5</v>
      </c>
      <c r="E715" s="53">
        <v>24</v>
      </c>
      <c r="F715" s="11">
        <f>SUM(DistMeetingQuota[[#This Row],[Sep]:[Feb]])</f>
        <v>0</v>
      </c>
      <c r="G715" s="11">
        <f>DistMeetingQuota[[#This Row],[Quota]]-DistMeetingQuota[[#This Row],[Actual]]</f>
        <v>24</v>
      </c>
      <c r="H715" s="49">
        <f>DistMeetingQuota[[#This Row],[Actual]]/DistMeetingQuota[[#This Row],[Quota]]</f>
        <v>0</v>
      </c>
      <c r="I715" s="4"/>
      <c r="J715" s="2"/>
      <c r="K715" s="2"/>
      <c r="L715" s="2"/>
      <c r="M715" s="2"/>
      <c r="N715" s="2"/>
      <c r="O715" s="2"/>
      <c r="P715" s="120"/>
      <c r="Q715" s="2"/>
    </row>
    <row r="716" spans="1:17" s="109" customFormat="1" ht="30">
      <c r="A716" s="4">
        <v>2069624</v>
      </c>
      <c r="B716" s="5" t="s">
        <v>661</v>
      </c>
      <c r="C716" s="4" t="s">
        <v>19</v>
      </c>
      <c r="D716" s="4" t="s">
        <v>11</v>
      </c>
      <c r="E716" s="53">
        <v>2</v>
      </c>
      <c r="F716" s="11">
        <f>SUM(DistMeetingQuota[[#This Row],[Sep]:[Feb]])</f>
        <v>0</v>
      </c>
      <c r="G716" s="11">
        <f>DistMeetingQuota[[#This Row],[Quota]]-DistMeetingQuota[[#This Row],[Actual]]</f>
        <v>2</v>
      </c>
      <c r="H716" s="49">
        <f>DistMeetingQuota[[#This Row],[Actual]]/DistMeetingQuota[[#This Row],[Quota]]</f>
        <v>0</v>
      </c>
      <c r="I716" s="4"/>
      <c r="J716" s="2"/>
      <c r="K716" s="2"/>
      <c r="L716" s="2"/>
      <c r="M716" s="2"/>
      <c r="N716" s="2"/>
      <c r="O716" s="2"/>
      <c r="P716" s="120" t="s">
        <v>14</v>
      </c>
      <c r="Q716" s="2"/>
    </row>
    <row r="717" spans="1:17" s="109" customFormat="1" ht="30">
      <c r="A717" s="4">
        <v>2141829</v>
      </c>
      <c r="B717" s="5" t="s">
        <v>654</v>
      </c>
      <c r="C717" s="4" t="s">
        <v>19</v>
      </c>
      <c r="D717" s="4" t="s">
        <v>11</v>
      </c>
      <c r="E717" s="53">
        <v>2</v>
      </c>
      <c r="F717" s="11">
        <f>SUM(DistMeetingQuota[[#This Row],[Sep]:[Feb]])</f>
        <v>2</v>
      </c>
      <c r="G717" s="11">
        <f>DistMeetingQuota[[#This Row],[Quota]]-DistMeetingQuota[[#This Row],[Actual]]</f>
        <v>0</v>
      </c>
      <c r="H717" s="49">
        <f>DistMeetingQuota[[#This Row],[Actual]]/DistMeetingQuota[[#This Row],[Quota]]</f>
        <v>1</v>
      </c>
      <c r="I717" s="4">
        <v>2</v>
      </c>
      <c r="J717" s="2"/>
      <c r="K717" s="2"/>
      <c r="L717" s="2"/>
      <c r="M717" s="2"/>
      <c r="N717" s="2"/>
      <c r="O717" s="2"/>
      <c r="P717" s="120" t="s">
        <v>14</v>
      </c>
      <c r="Q717" s="2"/>
    </row>
    <row r="718" spans="1:17" s="109" customFormat="1">
      <c r="A718" s="4">
        <v>2014231</v>
      </c>
      <c r="B718" s="5" t="s">
        <v>655</v>
      </c>
      <c r="C718" s="4" t="s">
        <v>19</v>
      </c>
      <c r="D718" s="4" t="s">
        <v>11</v>
      </c>
      <c r="E718" s="53">
        <v>2</v>
      </c>
      <c r="F718" s="11">
        <f>SUM(DistMeetingQuota[[#This Row],[Sep]:[Feb]])</f>
        <v>0</v>
      </c>
      <c r="G718" s="11">
        <f>DistMeetingQuota[[#This Row],[Quota]]-DistMeetingQuota[[#This Row],[Actual]]</f>
        <v>2</v>
      </c>
      <c r="H718" s="49">
        <f>DistMeetingQuota[[#This Row],[Actual]]/DistMeetingQuota[[#This Row],[Quota]]</f>
        <v>0</v>
      </c>
      <c r="I718" s="4"/>
      <c r="J718" s="2"/>
      <c r="K718" s="2"/>
      <c r="L718" s="2"/>
      <c r="M718" s="2"/>
      <c r="N718" s="2"/>
      <c r="O718" s="2"/>
      <c r="P718" s="120"/>
      <c r="Q718" s="2"/>
    </row>
    <row r="719" spans="1:17" s="109" customFormat="1">
      <c r="A719" s="4">
        <v>2134168</v>
      </c>
      <c r="B719" s="5" t="s">
        <v>656</v>
      </c>
      <c r="C719" s="4" t="s">
        <v>19</v>
      </c>
      <c r="D719" s="4" t="s">
        <v>5</v>
      </c>
      <c r="E719" s="53">
        <v>24</v>
      </c>
      <c r="F719" s="11">
        <f>SUM(DistMeetingQuota[[#This Row],[Sep]:[Feb]])</f>
        <v>24</v>
      </c>
      <c r="G719" s="11">
        <f>DistMeetingQuota[[#This Row],[Quota]]-DistMeetingQuota[[#This Row],[Actual]]</f>
        <v>0</v>
      </c>
      <c r="H719" s="49">
        <f>DistMeetingQuota[[#This Row],[Actual]]/DistMeetingQuota[[#This Row],[Quota]]</f>
        <v>1</v>
      </c>
      <c r="I719" s="4">
        <v>4</v>
      </c>
      <c r="J719" s="2">
        <v>4</v>
      </c>
      <c r="K719" s="2">
        <v>4</v>
      </c>
      <c r="L719" s="2">
        <v>4</v>
      </c>
      <c r="M719" s="2">
        <v>4</v>
      </c>
      <c r="N719" s="2">
        <v>4</v>
      </c>
      <c r="O719" s="2"/>
      <c r="P719" s="120" t="s">
        <v>14</v>
      </c>
      <c r="Q719" s="2"/>
    </row>
    <row r="720" spans="1:17" s="109" customFormat="1">
      <c r="A720" s="4">
        <v>2134168</v>
      </c>
      <c r="B720" s="5" t="s">
        <v>656</v>
      </c>
      <c r="C720" s="4" t="s">
        <v>19</v>
      </c>
      <c r="D720" s="4" t="s">
        <v>11</v>
      </c>
      <c r="E720" s="53">
        <v>2</v>
      </c>
      <c r="F720" s="11">
        <f>SUM(DistMeetingQuota[[#This Row],[Sep]:[Feb]])</f>
        <v>2</v>
      </c>
      <c r="G720" s="11">
        <f>DistMeetingQuota[[#This Row],[Quota]]-DistMeetingQuota[[#This Row],[Actual]]</f>
        <v>0</v>
      </c>
      <c r="H720" s="49">
        <f>DistMeetingQuota[[#This Row],[Actual]]/DistMeetingQuota[[#This Row],[Quota]]</f>
        <v>1</v>
      </c>
      <c r="I720" s="4">
        <v>1</v>
      </c>
      <c r="J720" s="2">
        <v>1</v>
      </c>
      <c r="K720" s="2"/>
      <c r="L720" s="2"/>
      <c r="M720" s="2"/>
      <c r="N720" s="2"/>
      <c r="O720" s="2"/>
      <c r="P720" s="120" t="s">
        <v>14</v>
      </c>
      <c r="Q720" s="2"/>
    </row>
    <row r="721" spans="1:17" s="109" customFormat="1" ht="30">
      <c r="A721" s="4">
        <v>2215059</v>
      </c>
      <c r="B721" s="5" t="s">
        <v>657</v>
      </c>
      <c r="C721" s="4" t="s">
        <v>19</v>
      </c>
      <c r="D721" s="4" t="s">
        <v>5</v>
      </c>
      <c r="E721" s="53">
        <v>24</v>
      </c>
      <c r="F721" s="11">
        <f>SUM(DistMeetingQuota[[#This Row],[Sep]:[Feb]])</f>
        <v>2</v>
      </c>
      <c r="G721" s="11">
        <f>DistMeetingQuota[[#This Row],[Quota]]-DistMeetingQuota[[#This Row],[Actual]]</f>
        <v>22</v>
      </c>
      <c r="H721" s="49">
        <f>DistMeetingQuota[[#This Row],[Actual]]/DistMeetingQuota[[#This Row],[Quota]]</f>
        <v>8.3333333333333329E-2</v>
      </c>
      <c r="I721" s="4"/>
      <c r="J721" s="2"/>
      <c r="K721" s="2"/>
      <c r="L721" s="2"/>
      <c r="M721" s="2">
        <v>2</v>
      </c>
      <c r="N721" s="2"/>
      <c r="O721" s="2"/>
      <c r="P721" s="120" t="s">
        <v>55</v>
      </c>
      <c r="Q721" s="2"/>
    </row>
    <row r="722" spans="1:17" s="109" customFormat="1" ht="30">
      <c r="A722" s="4">
        <v>2215059</v>
      </c>
      <c r="B722" s="5" t="s">
        <v>657</v>
      </c>
      <c r="C722" s="4" t="s">
        <v>19</v>
      </c>
      <c r="D722" s="4" t="s">
        <v>11</v>
      </c>
      <c r="E722" s="53">
        <v>2</v>
      </c>
      <c r="F722" s="11">
        <f>SUM(DistMeetingQuota[[#This Row],[Sep]:[Feb]])</f>
        <v>1</v>
      </c>
      <c r="G722" s="11">
        <f>DistMeetingQuota[[#This Row],[Quota]]-DistMeetingQuota[[#This Row],[Actual]]</f>
        <v>1</v>
      </c>
      <c r="H722" s="49">
        <f>DistMeetingQuota[[#This Row],[Actual]]/DistMeetingQuota[[#This Row],[Quota]]</f>
        <v>0.5</v>
      </c>
      <c r="I722" s="4"/>
      <c r="J722" s="2"/>
      <c r="K722" s="2"/>
      <c r="L722" s="2">
        <v>1</v>
      </c>
      <c r="M722" s="2"/>
      <c r="N722" s="2"/>
      <c r="O722" s="2"/>
      <c r="P722" s="120" t="s">
        <v>55</v>
      </c>
      <c r="Q722" s="2"/>
    </row>
    <row r="723" spans="1:17" s="109" customFormat="1" ht="30">
      <c r="A723" s="4">
        <v>2021359</v>
      </c>
      <c r="B723" s="5" t="s">
        <v>658</v>
      </c>
      <c r="C723" s="4" t="s">
        <v>19</v>
      </c>
      <c r="D723" s="4" t="s">
        <v>5</v>
      </c>
      <c r="E723" s="53">
        <v>24</v>
      </c>
      <c r="F723" s="11">
        <f>SUM(DistMeetingQuota[[#This Row],[Sep]:[Feb]])</f>
        <v>0</v>
      </c>
      <c r="G723" s="11">
        <f>DistMeetingQuota[[#This Row],[Quota]]-DistMeetingQuota[[#This Row],[Actual]]</f>
        <v>24</v>
      </c>
      <c r="H723" s="49">
        <f>DistMeetingQuota[[#This Row],[Actual]]/DistMeetingQuota[[#This Row],[Quota]]</f>
        <v>0</v>
      </c>
      <c r="I723" s="4"/>
      <c r="J723" s="2"/>
      <c r="K723" s="2"/>
      <c r="L723" s="2"/>
      <c r="M723" s="2"/>
      <c r="N723" s="2"/>
      <c r="O723" s="2"/>
      <c r="P723" s="120" t="s">
        <v>60</v>
      </c>
      <c r="Q723" s="2"/>
    </row>
    <row r="724" spans="1:17" s="109" customFormat="1" ht="30">
      <c r="A724" s="4">
        <v>2274129</v>
      </c>
      <c r="B724" s="5" t="s">
        <v>659</v>
      </c>
      <c r="C724" s="4" t="s">
        <v>19</v>
      </c>
      <c r="D724" s="4" t="s">
        <v>11</v>
      </c>
      <c r="E724" s="53">
        <v>2</v>
      </c>
      <c r="F724" s="11">
        <f>SUM(DistMeetingQuota[[#This Row],[Sep]:[Feb]])</f>
        <v>1</v>
      </c>
      <c r="G724" s="11">
        <f>DistMeetingQuota[[#This Row],[Quota]]-DistMeetingQuota[[#This Row],[Actual]]</f>
        <v>1</v>
      </c>
      <c r="H724" s="49">
        <f>DistMeetingQuota[[#This Row],[Actual]]/DistMeetingQuota[[#This Row],[Quota]]</f>
        <v>0.5</v>
      </c>
      <c r="I724" s="4"/>
      <c r="J724" s="2"/>
      <c r="K724" s="2"/>
      <c r="L724" s="2"/>
      <c r="M724" s="2"/>
      <c r="N724" s="2">
        <v>1</v>
      </c>
      <c r="O724" s="2"/>
      <c r="P724" s="120" t="s">
        <v>56</v>
      </c>
      <c r="Q724" s="2"/>
    </row>
    <row r="725" spans="1:17" s="109" customFormat="1" ht="30">
      <c r="A725" s="4">
        <v>2274129</v>
      </c>
      <c r="B725" s="5" t="s">
        <v>659</v>
      </c>
      <c r="C725" s="4" t="s">
        <v>19</v>
      </c>
      <c r="D725" s="4" t="s">
        <v>5</v>
      </c>
      <c r="E725" s="53">
        <v>24</v>
      </c>
      <c r="F725" s="11">
        <f>SUM(DistMeetingQuota[[#This Row],[Sep]:[Feb]])</f>
        <v>0</v>
      </c>
      <c r="G725" s="11">
        <f>DistMeetingQuota[[#This Row],[Quota]]-DistMeetingQuota[[#This Row],[Actual]]</f>
        <v>24</v>
      </c>
      <c r="H725" s="49">
        <f>DistMeetingQuota[[#This Row],[Actual]]/DistMeetingQuota[[#This Row],[Quota]]</f>
        <v>0</v>
      </c>
      <c r="I725" s="4"/>
      <c r="J725" s="2"/>
      <c r="K725" s="2"/>
      <c r="L725" s="2"/>
      <c r="M725" s="2"/>
      <c r="N725" s="2"/>
      <c r="O725" s="2"/>
      <c r="P725" s="120" t="s">
        <v>56</v>
      </c>
      <c r="Q725" s="2"/>
    </row>
    <row r="726" spans="1:17" s="109" customFormat="1" ht="30">
      <c r="A726" s="4">
        <v>2385004</v>
      </c>
      <c r="B726" s="138" t="s">
        <v>1153</v>
      </c>
      <c r="C726" s="4" t="s">
        <v>19</v>
      </c>
      <c r="D726" s="78" t="s">
        <v>11</v>
      </c>
      <c r="E726" s="53">
        <v>2</v>
      </c>
      <c r="F726" s="11">
        <f>SUM(DistMeetingQuota[[#This Row],[Sep]:[Feb]])</f>
        <v>1</v>
      </c>
      <c r="G726" s="11">
        <f>DistMeetingQuota[[#This Row],[Quota]]-DistMeetingQuota[[#This Row],[Actual]]</f>
        <v>1</v>
      </c>
      <c r="H726" s="49">
        <f>DistMeetingQuota[[#This Row],[Actual]]/DistMeetingQuota[[#This Row],[Quota]]</f>
        <v>0.5</v>
      </c>
      <c r="I726" s="4"/>
      <c r="J726" s="2"/>
      <c r="K726" s="2"/>
      <c r="L726" s="2"/>
      <c r="M726" s="2"/>
      <c r="N726" s="2">
        <v>1</v>
      </c>
      <c r="O726" s="2"/>
      <c r="P726" s="139" t="s">
        <v>56</v>
      </c>
      <c r="Q726" s="2"/>
    </row>
    <row r="727" spans="1:17" s="109" customFormat="1" ht="30">
      <c r="A727" s="4">
        <v>2141196</v>
      </c>
      <c r="B727" s="5" t="s">
        <v>650</v>
      </c>
      <c r="C727" s="4" t="s">
        <v>19</v>
      </c>
      <c r="D727" s="4" t="s">
        <v>11</v>
      </c>
      <c r="E727" s="53">
        <v>2</v>
      </c>
      <c r="F727" s="11">
        <f>SUM(DistMeetingQuota[[#This Row],[Sep]:[Feb]])</f>
        <v>0</v>
      </c>
      <c r="G727" s="11">
        <f>DistMeetingQuota[[#This Row],[Quota]]-DistMeetingQuota[[#This Row],[Actual]]</f>
        <v>2</v>
      </c>
      <c r="H727" s="49">
        <f>DistMeetingQuota[[#This Row],[Actual]]/DistMeetingQuota[[#This Row],[Quota]]</f>
        <v>0</v>
      </c>
      <c r="I727" s="4"/>
      <c r="J727" s="2"/>
      <c r="K727" s="2"/>
      <c r="L727" s="2"/>
      <c r="M727" s="2"/>
      <c r="N727" s="2"/>
      <c r="O727" s="2"/>
      <c r="P727" s="120"/>
      <c r="Q727" s="2"/>
    </row>
    <row r="728" spans="1:17" s="109" customFormat="1" ht="30">
      <c r="A728" s="4">
        <v>2009154</v>
      </c>
      <c r="B728" s="138" t="s">
        <v>669</v>
      </c>
      <c r="C728" s="4" t="s">
        <v>19</v>
      </c>
      <c r="D728" s="4" t="s">
        <v>5</v>
      </c>
      <c r="E728" s="53">
        <v>24</v>
      </c>
      <c r="F728" s="11">
        <f>SUM(DistMeetingQuota[[#This Row],[Sep]:[Feb]])</f>
        <v>4</v>
      </c>
      <c r="G728" s="11">
        <f>DistMeetingQuota[[#This Row],[Quota]]-DistMeetingQuota[[#This Row],[Actual]]</f>
        <v>20</v>
      </c>
      <c r="H728" s="49">
        <f>DistMeetingQuota[[#This Row],[Actual]]/DistMeetingQuota[[#This Row],[Quota]]</f>
        <v>0.16666666666666666</v>
      </c>
      <c r="I728" s="4">
        <v>4</v>
      </c>
      <c r="J728" s="2"/>
      <c r="K728" s="2"/>
      <c r="L728" s="2"/>
      <c r="M728" s="2"/>
      <c r="N728" s="2"/>
      <c r="O728" s="2"/>
      <c r="P728" s="139" t="s">
        <v>56</v>
      </c>
      <c r="Q728" s="2"/>
    </row>
    <row r="729" spans="1:17" s="109" customFormat="1" ht="30">
      <c r="A729" s="4">
        <v>2009154</v>
      </c>
      <c r="B729" s="138" t="s">
        <v>669</v>
      </c>
      <c r="C729" s="4" t="s">
        <v>19</v>
      </c>
      <c r="D729" s="4" t="s">
        <v>11</v>
      </c>
      <c r="E729" s="53">
        <v>2</v>
      </c>
      <c r="F729" s="11">
        <f>SUM(DistMeetingQuota[[#This Row],[Sep]:[Feb]])</f>
        <v>1</v>
      </c>
      <c r="G729" s="11">
        <f>DistMeetingQuota[[#This Row],[Quota]]-DistMeetingQuota[[#This Row],[Actual]]</f>
        <v>1</v>
      </c>
      <c r="H729" s="49">
        <f>DistMeetingQuota[[#This Row],[Actual]]/DistMeetingQuota[[#This Row],[Quota]]</f>
        <v>0.5</v>
      </c>
      <c r="I729" s="4"/>
      <c r="J729" s="2"/>
      <c r="K729" s="2"/>
      <c r="L729" s="2"/>
      <c r="M729" s="2">
        <v>1</v>
      </c>
      <c r="N729" s="2"/>
      <c r="O729" s="2"/>
      <c r="P729" s="139" t="s">
        <v>56</v>
      </c>
      <c r="Q729" s="2"/>
    </row>
    <row r="730" spans="1:17" s="109" customFormat="1" ht="30">
      <c r="A730" s="4">
        <v>2363282</v>
      </c>
      <c r="B730" s="138" t="s">
        <v>667</v>
      </c>
      <c r="C730" s="4" t="s">
        <v>19</v>
      </c>
      <c r="D730" s="4" t="s">
        <v>5</v>
      </c>
      <c r="E730" s="53">
        <v>24</v>
      </c>
      <c r="F730" s="11">
        <f>SUM(DistMeetingQuota[[#This Row],[Sep]:[Feb]])</f>
        <v>0</v>
      </c>
      <c r="G730" s="11">
        <f>DistMeetingQuota[[#This Row],[Quota]]-DistMeetingQuota[[#This Row],[Actual]]</f>
        <v>24</v>
      </c>
      <c r="H730" s="49">
        <f>DistMeetingQuota[[#This Row],[Actual]]/DistMeetingQuota[[#This Row],[Quota]]</f>
        <v>0</v>
      </c>
      <c r="I730" s="4"/>
      <c r="J730" s="2"/>
      <c r="K730" s="2"/>
      <c r="L730" s="2"/>
      <c r="M730" s="2"/>
      <c r="N730" s="2"/>
      <c r="O730" s="2"/>
      <c r="P730" s="139" t="s">
        <v>471</v>
      </c>
      <c r="Q730" s="2"/>
    </row>
    <row r="731" spans="1:17" s="109" customFormat="1" ht="30">
      <c r="A731" s="4">
        <v>2363282</v>
      </c>
      <c r="B731" s="138" t="s">
        <v>667</v>
      </c>
      <c r="C731" s="4" t="s">
        <v>19</v>
      </c>
      <c r="D731" s="4" t="s">
        <v>11</v>
      </c>
      <c r="E731" s="53">
        <v>2</v>
      </c>
      <c r="F731" s="11">
        <f>SUM(DistMeetingQuota[[#This Row],[Sep]:[Feb]])</f>
        <v>0</v>
      </c>
      <c r="G731" s="11">
        <f>DistMeetingQuota[[#This Row],[Quota]]-DistMeetingQuota[[#This Row],[Actual]]</f>
        <v>2</v>
      </c>
      <c r="H731" s="49">
        <f>DistMeetingQuota[[#This Row],[Actual]]/DistMeetingQuota[[#This Row],[Quota]]</f>
        <v>0</v>
      </c>
      <c r="I731" s="4"/>
      <c r="J731" s="2"/>
      <c r="K731" s="2"/>
      <c r="L731" s="2"/>
      <c r="M731" s="2"/>
      <c r="N731" s="2"/>
      <c r="O731" s="2"/>
      <c r="P731" s="139" t="s">
        <v>471</v>
      </c>
      <c r="Q731" s="2"/>
    </row>
    <row r="732" spans="1:17" s="109" customFormat="1" ht="30">
      <c r="A732" s="4">
        <v>2451831</v>
      </c>
      <c r="B732" s="138" t="s">
        <v>778</v>
      </c>
      <c r="C732" s="4" t="s">
        <v>19</v>
      </c>
      <c r="D732" s="78" t="s">
        <v>11</v>
      </c>
      <c r="E732" s="53">
        <v>2</v>
      </c>
      <c r="F732" s="11">
        <f>SUM(DistMeetingQuota[[#This Row],[Sep]:[Feb]])</f>
        <v>0</v>
      </c>
      <c r="G732" s="11">
        <f>DistMeetingQuota[[#This Row],[Quota]]-DistMeetingQuota[[#This Row],[Actual]]</f>
        <v>2</v>
      </c>
      <c r="H732" s="49">
        <f>DistMeetingQuota[[#This Row],[Actual]]/DistMeetingQuota[[#This Row],[Quota]]</f>
        <v>0</v>
      </c>
      <c r="I732" s="4"/>
      <c r="J732" s="2"/>
      <c r="K732" s="2"/>
      <c r="L732" s="2"/>
      <c r="M732" s="2"/>
      <c r="N732" s="2"/>
      <c r="O732" s="2"/>
      <c r="P732" s="139" t="s">
        <v>471</v>
      </c>
      <c r="Q732" s="2"/>
    </row>
    <row r="733" spans="1:17" s="109" customFormat="1">
      <c r="A733" s="4">
        <v>2243619</v>
      </c>
      <c r="B733" s="138" t="s">
        <v>670</v>
      </c>
      <c r="C733" s="4" t="s">
        <v>19</v>
      </c>
      <c r="D733" s="4" t="s">
        <v>5</v>
      </c>
      <c r="E733" s="53">
        <v>4</v>
      </c>
      <c r="F733" s="11">
        <f>SUM(DistMeetingQuota[[#This Row],[Sep]:[Feb]])</f>
        <v>4</v>
      </c>
      <c r="G733" s="11">
        <f>DistMeetingQuota[[#This Row],[Quota]]-DistMeetingQuota[[#This Row],[Actual]]</f>
        <v>0</v>
      </c>
      <c r="H733" s="49">
        <f>DistMeetingQuota[[#This Row],[Actual]]/DistMeetingQuota[[#This Row],[Quota]]</f>
        <v>1</v>
      </c>
      <c r="I733" s="4">
        <v>4</v>
      </c>
      <c r="J733" s="2"/>
      <c r="K733" s="2"/>
      <c r="L733" s="2"/>
      <c r="M733" s="2"/>
      <c r="N733" s="2"/>
      <c r="O733" s="2"/>
      <c r="P733" s="139" t="s">
        <v>59</v>
      </c>
      <c r="Q733" s="2"/>
    </row>
    <row r="734" spans="1:17" s="109" customFormat="1" ht="30">
      <c r="A734" s="4">
        <v>2361612</v>
      </c>
      <c r="B734" s="138" t="s">
        <v>671</v>
      </c>
      <c r="C734" s="4" t="s">
        <v>36</v>
      </c>
      <c r="D734" s="4" t="s">
        <v>5</v>
      </c>
      <c r="E734" s="53">
        <v>24</v>
      </c>
      <c r="F734" s="11">
        <f>SUM(DistMeetingQuota[[#This Row],[Sep]:[Feb]])</f>
        <v>24</v>
      </c>
      <c r="G734" s="11">
        <f>DistMeetingQuota[[#This Row],[Quota]]-DistMeetingQuota[[#This Row],[Actual]]</f>
        <v>0</v>
      </c>
      <c r="H734" s="49">
        <f>DistMeetingQuota[[#This Row],[Actual]]/DistMeetingQuota[[#This Row],[Quota]]</f>
        <v>1</v>
      </c>
      <c r="I734" s="4">
        <v>4</v>
      </c>
      <c r="J734" s="2">
        <v>4</v>
      </c>
      <c r="K734" s="2">
        <v>4</v>
      </c>
      <c r="L734" s="2">
        <v>4</v>
      </c>
      <c r="M734" s="2">
        <v>4</v>
      </c>
      <c r="N734" s="2">
        <v>4</v>
      </c>
      <c r="O734" s="2"/>
      <c r="P734" s="139" t="s">
        <v>59</v>
      </c>
      <c r="Q734" s="2"/>
    </row>
    <row r="735" spans="1:17" s="109" customFormat="1">
      <c r="A735" s="4">
        <v>2234686</v>
      </c>
      <c r="B735" s="138" t="s">
        <v>672</v>
      </c>
      <c r="C735" s="4" t="s">
        <v>19</v>
      </c>
      <c r="D735" s="4" t="s">
        <v>5</v>
      </c>
      <c r="E735" s="53">
        <v>24</v>
      </c>
      <c r="F735" s="11">
        <f>SUM(DistMeetingQuota[[#This Row],[Sep]:[Feb]])</f>
        <v>0</v>
      </c>
      <c r="G735" s="11">
        <f>DistMeetingQuota[[#This Row],[Quota]]-DistMeetingQuota[[#This Row],[Actual]]</f>
        <v>24</v>
      </c>
      <c r="H735" s="49">
        <f>DistMeetingQuota[[#This Row],[Actual]]/DistMeetingQuota[[#This Row],[Quota]]</f>
        <v>0</v>
      </c>
      <c r="I735" s="4"/>
      <c r="J735" s="2"/>
      <c r="K735" s="2"/>
      <c r="L735" s="2"/>
      <c r="M735" s="2"/>
      <c r="N735" s="2"/>
      <c r="O735" s="2"/>
      <c r="P735" s="139" t="s">
        <v>59</v>
      </c>
      <c r="Q735" s="2"/>
    </row>
    <row r="736" spans="1:17" s="109" customFormat="1" ht="30">
      <c r="A736" s="4">
        <v>2420394</v>
      </c>
      <c r="B736" s="138" t="s">
        <v>673</v>
      </c>
      <c r="C736" s="4" t="s">
        <v>19</v>
      </c>
      <c r="D736" s="4" t="s">
        <v>5</v>
      </c>
      <c r="E736" s="53">
        <v>24</v>
      </c>
      <c r="F736" s="11">
        <f>SUM(DistMeetingQuota[[#This Row],[Sep]:[Feb]])</f>
        <v>0</v>
      </c>
      <c r="G736" s="11">
        <f>DistMeetingQuota[[#This Row],[Quota]]-DistMeetingQuota[[#This Row],[Actual]]</f>
        <v>24</v>
      </c>
      <c r="H736" s="49">
        <f>DistMeetingQuota[[#This Row],[Actual]]/DistMeetingQuota[[#This Row],[Quota]]</f>
        <v>0</v>
      </c>
      <c r="I736" s="4"/>
      <c r="J736" s="2"/>
      <c r="K736" s="2"/>
      <c r="L736" s="2"/>
      <c r="M736" s="2"/>
      <c r="N736" s="2"/>
      <c r="O736" s="2"/>
      <c r="P736" s="139" t="s">
        <v>60</v>
      </c>
      <c r="Q736" s="2"/>
    </row>
    <row r="737" spans="1:17" s="109" customFormat="1">
      <c r="A737" s="4">
        <v>2328779</v>
      </c>
      <c r="B737" s="138" t="s">
        <v>674</v>
      </c>
      <c r="C737" s="4" t="s">
        <v>19</v>
      </c>
      <c r="D737" s="4" t="s">
        <v>11</v>
      </c>
      <c r="E737" s="53">
        <v>2</v>
      </c>
      <c r="F737" s="11">
        <f>SUM(DistMeetingQuota[[#This Row],[Sep]:[Feb]])</f>
        <v>2</v>
      </c>
      <c r="G737" s="11">
        <f>DistMeetingQuota[[#This Row],[Quota]]-DistMeetingQuota[[#This Row],[Actual]]</f>
        <v>0</v>
      </c>
      <c r="H737" s="49">
        <f>DistMeetingQuota[[#This Row],[Actual]]/DistMeetingQuota[[#This Row],[Quota]]</f>
        <v>1</v>
      </c>
      <c r="I737" s="4">
        <v>1</v>
      </c>
      <c r="J737" s="2">
        <v>1</v>
      </c>
      <c r="K737" s="2"/>
      <c r="L737" s="2"/>
      <c r="M737" s="2"/>
      <c r="N737" s="2"/>
      <c r="O737" s="2"/>
      <c r="P737" s="139" t="s">
        <v>56</v>
      </c>
      <c r="Q737" s="2"/>
    </row>
    <row r="738" spans="1:17" s="109" customFormat="1">
      <c r="A738" s="4">
        <v>2328779</v>
      </c>
      <c r="B738" s="138" t="s">
        <v>674</v>
      </c>
      <c r="C738" s="4" t="s">
        <v>19</v>
      </c>
      <c r="D738" s="4" t="s">
        <v>5</v>
      </c>
      <c r="E738" s="53">
        <v>24</v>
      </c>
      <c r="F738" s="11">
        <f>SUM(DistMeetingQuota[[#This Row],[Sep]:[Feb]])</f>
        <v>15</v>
      </c>
      <c r="G738" s="11">
        <f>DistMeetingQuota[[#This Row],[Quota]]-DistMeetingQuota[[#This Row],[Actual]]</f>
        <v>9</v>
      </c>
      <c r="H738" s="49">
        <f>DistMeetingQuota[[#This Row],[Actual]]/DistMeetingQuota[[#This Row],[Quota]]</f>
        <v>0.625</v>
      </c>
      <c r="I738" s="4">
        <v>3</v>
      </c>
      <c r="J738" s="2"/>
      <c r="K738" s="2">
        <v>4</v>
      </c>
      <c r="L738" s="2">
        <v>4</v>
      </c>
      <c r="M738" s="2">
        <v>4</v>
      </c>
      <c r="N738" s="2"/>
      <c r="O738" s="2"/>
      <c r="P738" s="139" t="s">
        <v>56</v>
      </c>
      <c r="Q738" s="2"/>
    </row>
    <row r="739" spans="1:17" s="109" customFormat="1" ht="30">
      <c r="A739" s="4">
        <v>2445515</v>
      </c>
      <c r="B739" s="138" t="s">
        <v>675</v>
      </c>
      <c r="C739" s="4" t="s">
        <v>19</v>
      </c>
      <c r="D739" s="4" t="s">
        <v>11</v>
      </c>
      <c r="E739" s="53">
        <v>2</v>
      </c>
      <c r="F739" s="11">
        <f>SUM(DistMeetingQuota[[#This Row],[Sep]:[Feb]])</f>
        <v>1</v>
      </c>
      <c r="G739" s="11">
        <f>DistMeetingQuota[[#This Row],[Quota]]-DistMeetingQuota[[#This Row],[Actual]]</f>
        <v>1</v>
      </c>
      <c r="H739" s="49">
        <f>DistMeetingQuota[[#This Row],[Actual]]/DistMeetingQuota[[#This Row],[Quota]]</f>
        <v>0.5</v>
      </c>
      <c r="I739" s="4"/>
      <c r="J739" s="2"/>
      <c r="K739" s="2"/>
      <c r="L739" s="2">
        <v>1</v>
      </c>
      <c r="M739" s="2"/>
      <c r="N739" s="2"/>
      <c r="O739" s="2"/>
      <c r="P739" s="139" t="s">
        <v>67</v>
      </c>
      <c r="Q739" s="2"/>
    </row>
    <row r="740" spans="1:17" s="109" customFormat="1" ht="30">
      <c r="A740" s="4">
        <v>2445515</v>
      </c>
      <c r="B740" s="138" t="s">
        <v>675</v>
      </c>
      <c r="C740" s="4" t="s">
        <v>19</v>
      </c>
      <c r="D740" s="4" t="s">
        <v>5</v>
      </c>
      <c r="E740" s="53">
        <v>24</v>
      </c>
      <c r="F740" s="11">
        <f>SUM(DistMeetingQuota[[#This Row],[Sep]:[Feb]])</f>
        <v>18</v>
      </c>
      <c r="G740" s="11">
        <f>DistMeetingQuota[[#This Row],[Quota]]-DistMeetingQuota[[#This Row],[Actual]]</f>
        <v>6</v>
      </c>
      <c r="H740" s="49">
        <f>DistMeetingQuota[[#This Row],[Actual]]/DistMeetingQuota[[#This Row],[Quota]]</f>
        <v>0.75</v>
      </c>
      <c r="I740" s="4">
        <v>4</v>
      </c>
      <c r="J740" s="2">
        <v>4</v>
      </c>
      <c r="K740" s="2"/>
      <c r="L740" s="2">
        <v>3</v>
      </c>
      <c r="M740" s="2">
        <v>4</v>
      </c>
      <c r="N740" s="2">
        <v>3</v>
      </c>
      <c r="O740" s="2"/>
      <c r="P740" s="139" t="s">
        <v>67</v>
      </c>
      <c r="Q740" s="2"/>
    </row>
    <row r="741" spans="1:17" s="109" customFormat="1" ht="30">
      <c r="A741" s="4">
        <v>2323644</v>
      </c>
      <c r="B741" s="138" t="s">
        <v>676</v>
      </c>
      <c r="C741" s="4" t="s">
        <v>19</v>
      </c>
      <c r="D741" s="4" t="s">
        <v>5</v>
      </c>
      <c r="E741" s="53">
        <v>24</v>
      </c>
      <c r="F741" s="11">
        <f>SUM(DistMeetingQuota[[#This Row],[Sep]:[Feb]])</f>
        <v>0</v>
      </c>
      <c r="G741" s="11">
        <f>DistMeetingQuota[[#This Row],[Quota]]-DistMeetingQuota[[#This Row],[Actual]]</f>
        <v>24</v>
      </c>
      <c r="H741" s="49">
        <f>DistMeetingQuota[[#This Row],[Actual]]/DistMeetingQuota[[#This Row],[Quota]]</f>
        <v>0</v>
      </c>
      <c r="I741" s="4"/>
      <c r="J741" s="2"/>
      <c r="K741" s="2"/>
      <c r="L741" s="2"/>
      <c r="M741" s="2"/>
      <c r="N741" s="2"/>
      <c r="O741" s="2"/>
      <c r="P741" s="139" t="s">
        <v>68</v>
      </c>
      <c r="Q741" s="2"/>
    </row>
    <row r="742" spans="1:17" s="109" customFormat="1" ht="30">
      <c r="A742" s="4">
        <v>2246436</v>
      </c>
      <c r="B742" s="138" t="s">
        <v>677</v>
      </c>
      <c r="C742" s="4" t="s">
        <v>19</v>
      </c>
      <c r="D742" s="4" t="s">
        <v>5</v>
      </c>
      <c r="E742" s="53">
        <v>24</v>
      </c>
      <c r="F742" s="11">
        <f>SUM(DistMeetingQuota[[#This Row],[Sep]:[Feb]])</f>
        <v>4</v>
      </c>
      <c r="G742" s="11">
        <f>DistMeetingQuota[[#This Row],[Quota]]-DistMeetingQuota[[#This Row],[Actual]]</f>
        <v>20</v>
      </c>
      <c r="H742" s="49">
        <f>DistMeetingQuota[[#This Row],[Actual]]/DistMeetingQuota[[#This Row],[Quota]]</f>
        <v>0.16666666666666666</v>
      </c>
      <c r="I742" s="4">
        <v>4</v>
      </c>
      <c r="J742" s="2"/>
      <c r="K742" s="2"/>
      <c r="L742" s="2"/>
      <c r="M742" s="2"/>
      <c r="N742" s="2"/>
      <c r="O742" s="2"/>
      <c r="P742" s="139" t="s">
        <v>67</v>
      </c>
      <c r="Q742" s="2"/>
    </row>
    <row r="743" spans="1:17" s="154" customFormat="1">
      <c r="A743" s="147">
        <v>2020650</v>
      </c>
      <c r="B743" s="148" t="s">
        <v>678</v>
      </c>
      <c r="C743" s="147" t="s">
        <v>19</v>
      </c>
      <c r="D743" s="147" t="s">
        <v>5</v>
      </c>
      <c r="E743" s="150">
        <v>0</v>
      </c>
      <c r="F743" s="157">
        <f>SUM(DistMeetingQuota[[#This Row],[Sep]:[Feb]])</f>
        <v>0</v>
      </c>
      <c r="G743" s="157">
        <f>DistMeetingQuota[[#This Row],[Quota]]-DistMeetingQuota[[#This Row],[Actual]]</f>
        <v>0</v>
      </c>
      <c r="H743" s="158" t="e">
        <f>DistMeetingQuota[[#This Row],[Actual]]/DistMeetingQuota[[#This Row],[Quota]]</f>
        <v>#DIV/0!</v>
      </c>
      <c r="I743" s="147"/>
      <c r="J743" s="152"/>
      <c r="K743" s="152"/>
      <c r="L743" s="152"/>
      <c r="M743" s="152"/>
      <c r="N743" s="152"/>
      <c r="O743" s="152" t="s">
        <v>900</v>
      </c>
      <c r="P743" s="246" t="s">
        <v>479</v>
      </c>
      <c r="Q743" s="152"/>
    </row>
    <row r="744" spans="1:17" s="109" customFormat="1">
      <c r="A744" s="4">
        <v>2030461</v>
      </c>
      <c r="B744" s="138" t="s">
        <v>679</v>
      </c>
      <c r="C744" s="4" t="s">
        <v>19</v>
      </c>
      <c r="D744" s="4" t="s">
        <v>5</v>
      </c>
      <c r="E744" s="53">
        <v>24</v>
      </c>
      <c r="F744" s="11">
        <f>SUM(DistMeetingQuota[[#This Row],[Sep]:[Feb]])</f>
        <v>20</v>
      </c>
      <c r="G744" s="11">
        <f>DistMeetingQuota[[#This Row],[Quota]]-DistMeetingQuota[[#This Row],[Actual]]</f>
        <v>4</v>
      </c>
      <c r="H744" s="49">
        <f>DistMeetingQuota[[#This Row],[Actual]]/DistMeetingQuota[[#This Row],[Quota]]</f>
        <v>0.83333333333333337</v>
      </c>
      <c r="I744" s="4">
        <v>5</v>
      </c>
      <c r="J744" s="2">
        <v>5</v>
      </c>
      <c r="K744" s="2">
        <v>5</v>
      </c>
      <c r="L744" s="2">
        <v>5</v>
      </c>
      <c r="M744" s="2"/>
      <c r="N744" s="2"/>
      <c r="O744" s="2"/>
      <c r="P744" s="139" t="s">
        <v>472</v>
      </c>
      <c r="Q744" s="2"/>
    </row>
    <row r="745" spans="1:17" s="109" customFormat="1">
      <c r="A745" s="4">
        <v>2334307</v>
      </c>
      <c r="B745" s="138" t="s">
        <v>680</v>
      </c>
      <c r="C745" s="4" t="s">
        <v>19</v>
      </c>
      <c r="D745" s="4" t="s">
        <v>5</v>
      </c>
      <c r="E745" s="53">
        <v>24</v>
      </c>
      <c r="F745" s="11">
        <f>SUM(DistMeetingQuota[[#This Row],[Sep]:[Feb]])</f>
        <v>14</v>
      </c>
      <c r="G745" s="11">
        <f>DistMeetingQuota[[#This Row],[Quota]]-DistMeetingQuota[[#This Row],[Actual]]</f>
        <v>10</v>
      </c>
      <c r="H745" s="49">
        <f>DistMeetingQuota[[#This Row],[Actual]]/DistMeetingQuota[[#This Row],[Quota]]</f>
        <v>0.58333333333333337</v>
      </c>
      <c r="I745" s="4">
        <v>2</v>
      </c>
      <c r="J745" s="2">
        <v>2</v>
      </c>
      <c r="K745" s="2">
        <v>2</v>
      </c>
      <c r="L745" s="2">
        <v>4</v>
      </c>
      <c r="M745" s="2">
        <v>2</v>
      </c>
      <c r="N745" s="2">
        <v>2</v>
      </c>
      <c r="O745" s="2"/>
      <c r="P745" s="139" t="s">
        <v>471</v>
      </c>
      <c r="Q745" s="2"/>
    </row>
    <row r="746" spans="1:17" s="109" customFormat="1" ht="30">
      <c r="A746" s="4">
        <v>2291371</v>
      </c>
      <c r="B746" s="138" t="s">
        <v>683</v>
      </c>
      <c r="C746" s="4" t="s">
        <v>19</v>
      </c>
      <c r="D746" s="4" t="s">
        <v>5</v>
      </c>
      <c r="E746" s="53">
        <v>24</v>
      </c>
      <c r="F746" s="11">
        <f>SUM(DistMeetingQuota[[#This Row],[Sep]:[Feb]])</f>
        <v>8</v>
      </c>
      <c r="G746" s="11">
        <f>DistMeetingQuota[[#This Row],[Quota]]-DistMeetingQuota[[#This Row],[Actual]]</f>
        <v>16</v>
      </c>
      <c r="H746" s="49">
        <f>DistMeetingQuota[[#This Row],[Actual]]/DistMeetingQuota[[#This Row],[Quota]]</f>
        <v>0.33333333333333331</v>
      </c>
      <c r="I746" s="4"/>
      <c r="J746" s="2"/>
      <c r="K746" s="2">
        <v>2</v>
      </c>
      <c r="L746" s="2">
        <v>2</v>
      </c>
      <c r="M746" s="2">
        <v>1</v>
      </c>
      <c r="N746" s="2">
        <v>3</v>
      </c>
      <c r="O746" s="2"/>
      <c r="P746" s="139" t="s">
        <v>55</v>
      </c>
      <c r="Q746" s="2"/>
    </row>
    <row r="747" spans="1:17" s="109" customFormat="1" ht="30">
      <c r="A747" s="4">
        <v>2291371</v>
      </c>
      <c r="B747" s="138" t="s">
        <v>683</v>
      </c>
      <c r="C747" s="4" t="s">
        <v>19</v>
      </c>
      <c r="D747" s="4" t="s">
        <v>11</v>
      </c>
      <c r="E747" s="53">
        <v>2</v>
      </c>
      <c r="F747" s="11">
        <f>SUM(DistMeetingQuota[[#This Row],[Sep]:[Feb]])</f>
        <v>0</v>
      </c>
      <c r="G747" s="11">
        <f>DistMeetingQuota[[#This Row],[Quota]]-DistMeetingQuota[[#This Row],[Actual]]</f>
        <v>2</v>
      </c>
      <c r="H747" s="49">
        <f>DistMeetingQuota[[#This Row],[Actual]]/DistMeetingQuota[[#This Row],[Quota]]</f>
        <v>0</v>
      </c>
      <c r="I747" s="4"/>
      <c r="J747" s="2"/>
      <c r="K747" s="2"/>
      <c r="L747" s="2"/>
      <c r="M747" s="2"/>
      <c r="N747" s="2"/>
      <c r="O747" s="2"/>
      <c r="P747" s="139" t="s">
        <v>55</v>
      </c>
      <c r="Q747" s="2"/>
    </row>
    <row r="748" spans="1:17" s="109" customFormat="1" ht="30">
      <c r="A748" s="4">
        <v>2216320</v>
      </c>
      <c r="B748" s="138" t="s">
        <v>684</v>
      </c>
      <c r="C748" s="4" t="s">
        <v>19</v>
      </c>
      <c r="D748" s="4" t="s">
        <v>5</v>
      </c>
      <c r="E748" s="53">
        <v>24</v>
      </c>
      <c r="F748" s="11">
        <f>SUM(DistMeetingQuota[[#This Row],[Sep]:[Feb]])</f>
        <v>12</v>
      </c>
      <c r="G748" s="11">
        <f>DistMeetingQuota[[#This Row],[Quota]]-DistMeetingQuota[[#This Row],[Actual]]</f>
        <v>12</v>
      </c>
      <c r="H748" s="49">
        <f>DistMeetingQuota[[#This Row],[Actual]]/DistMeetingQuota[[#This Row],[Quota]]</f>
        <v>0.5</v>
      </c>
      <c r="I748" s="4">
        <v>4</v>
      </c>
      <c r="J748" s="2">
        <v>4</v>
      </c>
      <c r="K748" s="2">
        <v>4</v>
      </c>
      <c r="L748" s="2"/>
      <c r="M748" s="2"/>
      <c r="N748" s="2"/>
      <c r="O748" s="2"/>
      <c r="P748" s="139" t="s">
        <v>56</v>
      </c>
      <c r="Q748" s="2"/>
    </row>
    <row r="749" spans="1:17" s="109" customFormat="1" ht="30">
      <c r="A749" s="4">
        <v>2387143</v>
      </c>
      <c r="B749" s="138" t="s">
        <v>687</v>
      </c>
      <c r="C749" s="4" t="s">
        <v>19</v>
      </c>
      <c r="D749" s="4" t="s">
        <v>11</v>
      </c>
      <c r="E749" s="53">
        <v>2</v>
      </c>
      <c r="F749" s="11">
        <f>SUM(DistMeetingQuota[[#This Row],[Sep]:[Feb]])</f>
        <v>0</v>
      </c>
      <c r="G749" s="11">
        <f>DistMeetingQuota[[#This Row],[Quota]]-DistMeetingQuota[[#This Row],[Actual]]</f>
        <v>2</v>
      </c>
      <c r="H749" s="49">
        <f>DistMeetingQuota[[#This Row],[Actual]]/DistMeetingQuota[[#This Row],[Quota]]</f>
        <v>0</v>
      </c>
      <c r="I749" s="4"/>
      <c r="J749" s="2"/>
      <c r="K749" s="2"/>
      <c r="L749" s="2"/>
      <c r="M749" s="2"/>
      <c r="N749" s="2"/>
      <c r="O749" s="2"/>
      <c r="P749" s="139" t="s">
        <v>62</v>
      </c>
      <c r="Q749" s="2"/>
    </row>
    <row r="750" spans="1:17" s="109" customFormat="1" ht="30">
      <c r="A750" s="4">
        <v>2178939</v>
      </c>
      <c r="B750" s="138" t="s">
        <v>686</v>
      </c>
      <c r="C750" s="4" t="s">
        <v>19</v>
      </c>
      <c r="D750" s="4" t="s">
        <v>11</v>
      </c>
      <c r="E750" s="53">
        <v>2</v>
      </c>
      <c r="F750" s="11">
        <f>SUM(DistMeetingQuota[[#This Row],[Sep]:[Feb]])</f>
        <v>0</v>
      </c>
      <c r="G750" s="11">
        <f>DistMeetingQuota[[#This Row],[Quota]]-DistMeetingQuota[[#This Row],[Actual]]</f>
        <v>2</v>
      </c>
      <c r="H750" s="49">
        <f>DistMeetingQuota[[#This Row],[Actual]]/DistMeetingQuota[[#This Row],[Quota]]</f>
        <v>0</v>
      </c>
      <c r="I750" s="4"/>
      <c r="J750" s="2"/>
      <c r="K750" s="2"/>
      <c r="L750" s="2"/>
      <c r="M750" s="2"/>
      <c r="N750" s="2"/>
      <c r="O750" s="2"/>
      <c r="P750" s="139" t="s">
        <v>62</v>
      </c>
      <c r="Q750" s="2"/>
    </row>
    <row r="751" spans="1:17" s="109" customFormat="1">
      <c r="A751" s="4">
        <v>2374255</v>
      </c>
      <c r="B751" s="138" t="s">
        <v>685</v>
      </c>
      <c r="C751" s="4" t="s">
        <v>19</v>
      </c>
      <c r="D751" s="4" t="s">
        <v>11</v>
      </c>
      <c r="E751" s="53">
        <v>2</v>
      </c>
      <c r="F751" s="11">
        <f>SUM(DistMeetingQuota[[#This Row],[Sep]:[Feb]])</f>
        <v>0</v>
      </c>
      <c r="G751" s="11">
        <f>DistMeetingQuota[[#This Row],[Quota]]-DistMeetingQuota[[#This Row],[Actual]]</f>
        <v>2</v>
      </c>
      <c r="H751" s="49">
        <f>DistMeetingQuota[[#This Row],[Actual]]/DistMeetingQuota[[#This Row],[Quota]]</f>
        <v>0</v>
      </c>
      <c r="I751" s="4"/>
      <c r="J751" s="2"/>
      <c r="K751" s="2"/>
      <c r="L751" s="2"/>
      <c r="M751" s="2"/>
      <c r="N751" s="2"/>
      <c r="O751" s="2"/>
      <c r="P751" s="139" t="s">
        <v>62</v>
      </c>
      <c r="Q751" s="2"/>
    </row>
    <row r="752" spans="1:17" s="109" customFormat="1" ht="30">
      <c r="A752" s="4">
        <v>2409399</v>
      </c>
      <c r="B752" s="138" t="s">
        <v>688</v>
      </c>
      <c r="C752" s="4" t="s">
        <v>19</v>
      </c>
      <c r="D752" s="4" t="s">
        <v>5</v>
      </c>
      <c r="E752" s="53">
        <v>24</v>
      </c>
      <c r="F752" s="11">
        <f>SUM(DistMeetingQuota[[#This Row],[Sep]:[Feb]])</f>
        <v>0</v>
      </c>
      <c r="G752" s="11">
        <f>DistMeetingQuota[[#This Row],[Quota]]-DistMeetingQuota[[#This Row],[Actual]]</f>
        <v>24</v>
      </c>
      <c r="H752" s="49">
        <f>DistMeetingQuota[[#This Row],[Actual]]/DistMeetingQuota[[#This Row],[Quota]]</f>
        <v>0</v>
      </c>
      <c r="I752" s="4"/>
      <c r="J752" s="2"/>
      <c r="K752" s="2"/>
      <c r="L752" s="2"/>
      <c r="M752" s="2"/>
      <c r="N752" s="2"/>
      <c r="O752" s="2"/>
      <c r="P752" s="139" t="s">
        <v>60</v>
      </c>
      <c r="Q752" s="2"/>
    </row>
    <row r="753" spans="1:17" s="109" customFormat="1" ht="30">
      <c r="A753" s="4">
        <v>2094274</v>
      </c>
      <c r="B753" s="138" t="s">
        <v>689</v>
      </c>
      <c r="C753" s="4" t="s">
        <v>19</v>
      </c>
      <c r="D753" s="4" t="s">
        <v>5</v>
      </c>
      <c r="E753" s="53">
        <v>24</v>
      </c>
      <c r="F753" s="11">
        <f>SUM(DistMeetingQuota[[#This Row],[Sep]:[Feb]])</f>
        <v>0</v>
      </c>
      <c r="G753" s="11">
        <f>DistMeetingQuota[[#This Row],[Quota]]-DistMeetingQuota[[#This Row],[Actual]]</f>
        <v>24</v>
      </c>
      <c r="H753" s="49">
        <f>DistMeetingQuota[[#This Row],[Actual]]/DistMeetingQuota[[#This Row],[Quota]]</f>
        <v>0</v>
      </c>
      <c r="I753" s="4"/>
      <c r="J753" s="2"/>
      <c r="K753" s="2"/>
      <c r="L753" s="2"/>
      <c r="M753" s="2"/>
      <c r="N753" s="2"/>
      <c r="O753" s="2"/>
      <c r="P753" s="139" t="s">
        <v>65</v>
      </c>
      <c r="Q753" s="2"/>
    </row>
    <row r="754" spans="1:17" s="109" customFormat="1" ht="30">
      <c r="A754" s="4">
        <v>2094274</v>
      </c>
      <c r="B754" s="138" t="s">
        <v>689</v>
      </c>
      <c r="C754" s="4" t="s">
        <v>19</v>
      </c>
      <c r="D754" s="4" t="s">
        <v>11</v>
      </c>
      <c r="E754" s="53">
        <v>2</v>
      </c>
      <c r="F754" s="11">
        <f>SUM(DistMeetingQuota[[#This Row],[Sep]:[Feb]])</f>
        <v>0</v>
      </c>
      <c r="G754" s="11">
        <f>DistMeetingQuota[[#This Row],[Quota]]-DistMeetingQuota[[#This Row],[Actual]]</f>
        <v>2</v>
      </c>
      <c r="H754" s="49">
        <f>DistMeetingQuota[[#This Row],[Actual]]/DistMeetingQuota[[#This Row],[Quota]]</f>
        <v>0</v>
      </c>
      <c r="I754" s="4"/>
      <c r="J754" s="2"/>
      <c r="K754" s="2"/>
      <c r="L754" s="2"/>
      <c r="M754" s="2"/>
      <c r="N754" s="2"/>
      <c r="O754" s="2"/>
      <c r="P754" s="139" t="s">
        <v>65</v>
      </c>
      <c r="Q754" s="2"/>
    </row>
    <row r="755" spans="1:17" s="109" customFormat="1" ht="30">
      <c r="A755" s="4">
        <v>2482696</v>
      </c>
      <c r="B755" s="138" t="s">
        <v>690</v>
      </c>
      <c r="C755" s="4" t="s">
        <v>19</v>
      </c>
      <c r="D755" s="4" t="s">
        <v>11</v>
      </c>
      <c r="E755" s="53">
        <v>2</v>
      </c>
      <c r="F755" s="11">
        <f>SUM(DistMeetingQuota[[#This Row],[Sep]:[Feb]])</f>
        <v>1</v>
      </c>
      <c r="G755" s="11">
        <f>DistMeetingQuota[[#This Row],[Quota]]-DistMeetingQuota[[#This Row],[Actual]]</f>
        <v>1</v>
      </c>
      <c r="H755" s="49">
        <f>DistMeetingQuota[[#This Row],[Actual]]/DistMeetingQuota[[#This Row],[Quota]]</f>
        <v>0.5</v>
      </c>
      <c r="I755" s="4"/>
      <c r="J755" s="2"/>
      <c r="K755" s="2"/>
      <c r="L755" s="2">
        <v>1</v>
      </c>
      <c r="M755" s="2"/>
      <c r="N755" s="2"/>
      <c r="O755" s="2"/>
      <c r="P755" s="120"/>
      <c r="Q755" s="2"/>
    </row>
    <row r="756" spans="1:17" s="109" customFormat="1" ht="30">
      <c r="A756" s="4">
        <v>2482696</v>
      </c>
      <c r="B756" s="138" t="s">
        <v>690</v>
      </c>
      <c r="C756" s="4" t="s">
        <v>19</v>
      </c>
      <c r="D756" s="4" t="s">
        <v>5</v>
      </c>
      <c r="E756" s="53">
        <v>24</v>
      </c>
      <c r="F756" s="11">
        <f>SUM(DistMeetingQuota[[#This Row],[Sep]:[Feb]])</f>
        <v>24</v>
      </c>
      <c r="G756" s="11">
        <f>DistMeetingQuota[[#This Row],[Quota]]-DistMeetingQuota[[#This Row],[Actual]]</f>
        <v>0</v>
      </c>
      <c r="H756" s="49">
        <f>DistMeetingQuota[[#This Row],[Actual]]/DistMeetingQuota[[#This Row],[Quota]]</f>
        <v>1</v>
      </c>
      <c r="I756" s="4">
        <v>4</v>
      </c>
      <c r="J756" s="2">
        <v>4</v>
      </c>
      <c r="K756" s="2">
        <v>4</v>
      </c>
      <c r="L756" s="2">
        <v>4</v>
      </c>
      <c r="M756" s="2">
        <v>4</v>
      </c>
      <c r="N756" s="2">
        <v>4</v>
      </c>
      <c r="O756" s="2"/>
      <c r="P756" s="120"/>
      <c r="Q756" s="2"/>
    </row>
    <row r="757" spans="1:17" s="109" customFormat="1" ht="30">
      <c r="A757" s="4">
        <v>2341969</v>
      </c>
      <c r="B757" s="138" t="s">
        <v>691</v>
      </c>
      <c r="C757" s="4" t="s">
        <v>19</v>
      </c>
      <c r="D757" s="4" t="s">
        <v>5</v>
      </c>
      <c r="E757" s="53">
        <v>24</v>
      </c>
      <c r="F757" s="11">
        <f>SUM(DistMeetingQuota[[#This Row],[Sep]:[Feb]])</f>
        <v>6</v>
      </c>
      <c r="G757" s="11">
        <f>DistMeetingQuota[[#This Row],[Quota]]-DistMeetingQuota[[#This Row],[Actual]]</f>
        <v>18</v>
      </c>
      <c r="H757" s="49">
        <f>DistMeetingQuota[[#This Row],[Actual]]/DistMeetingQuota[[#This Row],[Quota]]</f>
        <v>0.25</v>
      </c>
      <c r="I757" s="4">
        <v>2</v>
      </c>
      <c r="J757" s="2"/>
      <c r="K757" s="2"/>
      <c r="L757" s="2">
        <v>4</v>
      </c>
      <c r="M757" s="2"/>
      <c r="N757" s="2"/>
      <c r="O757" s="2"/>
      <c r="P757" s="139" t="s">
        <v>692</v>
      </c>
      <c r="Q757" s="2"/>
    </row>
    <row r="758" spans="1:17" s="109" customFormat="1" ht="30">
      <c r="A758" s="4">
        <v>2341969</v>
      </c>
      <c r="B758" s="138" t="s">
        <v>691</v>
      </c>
      <c r="C758" s="4" t="s">
        <v>19</v>
      </c>
      <c r="D758" s="4" t="s">
        <v>11</v>
      </c>
      <c r="E758" s="53">
        <v>2</v>
      </c>
      <c r="F758" s="11">
        <f>SUM(DistMeetingQuota[[#This Row],[Sep]:[Feb]])</f>
        <v>0</v>
      </c>
      <c r="G758" s="11">
        <f>DistMeetingQuota[[#This Row],[Quota]]-DistMeetingQuota[[#This Row],[Actual]]</f>
        <v>2</v>
      </c>
      <c r="H758" s="49">
        <f>DistMeetingQuota[[#This Row],[Actual]]/DistMeetingQuota[[#This Row],[Quota]]</f>
        <v>0</v>
      </c>
      <c r="I758" s="4"/>
      <c r="J758" s="2"/>
      <c r="K758" s="2"/>
      <c r="L758" s="2"/>
      <c r="M758" s="2"/>
      <c r="N758" s="2"/>
      <c r="O758" s="2"/>
      <c r="P758" s="139" t="s">
        <v>692</v>
      </c>
      <c r="Q758" s="2"/>
    </row>
    <row r="759" spans="1:17" s="109" customFormat="1">
      <c r="A759" s="4">
        <v>2208973</v>
      </c>
      <c r="B759" s="138" t="s">
        <v>693</v>
      </c>
      <c r="C759" s="4" t="s">
        <v>19</v>
      </c>
      <c r="D759" s="4" t="s">
        <v>5</v>
      </c>
      <c r="E759" s="53">
        <v>24</v>
      </c>
      <c r="F759" s="11">
        <f>SUM(DistMeetingQuota[[#This Row],[Sep]:[Feb]])</f>
        <v>4</v>
      </c>
      <c r="G759" s="11">
        <f>DistMeetingQuota[[#This Row],[Quota]]-DistMeetingQuota[[#This Row],[Actual]]</f>
        <v>20</v>
      </c>
      <c r="H759" s="49">
        <f>DistMeetingQuota[[#This Row],[Actual]]/DistMeetingQuota[[#This Row],[Quota]]</f>
        <v>0.16666666666666666</v>
      </c>
      <c r="I759" s="4"/>
      <c r="J759" s="2"/>
      <c r="K759" s="2"/>
      <c r="L759" s="2"/>
      <c r="M759" s="2">
        <v>4</v>
      </c>
      <c r="N759" s="2"/>
      <c r="O759" s="2"/>
      <c r="P759" s="139" t="s">
        <v>473</v>
      </c>
      <c r="Q759" s="2"/>
    </row>
    <row r="760" spans="1:17" s="109" customFormat="1">
      <c r="A760" s="4">
        <v>2208973</v>
      </c>
      <c r="B760" s="138" t="s">
        <v>693</v>
      </c>
      <c r="C760" s="4" t="s">
        <v>19</v>
      </c>
      <c r="D760" s="4" t="s">
        <v>11</v>
      </c>
      <c r="E760" s="53">
        <v>2</v>
      </c>
      <c r="F760" s="11">
        <f>SUM(DistMeetingQuota[[#This Row],[Sep]:[Feb]])</f>
        <v>0</v>
      </c>
      <c r="G760" s="11">
        <f>DistMeetingQuota[[#This Row],[Quota]]-DistMeetingQuota[[#This Row],[Actual]]</f>
        <v>2</v>
      </c>
      <c r="H760" s="49">
        <f>DistMeetingQuota[[#This Row],[Actual]]/DistMeetingQuota[[#This Row],[Quota]]</f>
        <v>0</v>
      </c>
      <c r="I760" s="4"/>
      <c r="J760" s="2"/>
      <c r="K760" s="2"/>
      <c r="L760" s="2"/>
      <c r="M760" s="2"/>
      <c r="N760" s="2"/>
      <c r="O760" s="2"/>
      <c r="P760" s="139" t="s">
        <v>473</v>
      </c>
      <c r="Q760" s="2"/>
    </row>
    <row r="761" spans="1:17" s="109" customFormat="1" ht="30">
      <c r="A761" s="4">
        <v>2292758</v>
      </c>
      <c r="B761" s="138" t="s">
        <v>694</v>
      </c>
      <c r="C761" s="4" t="s">
        <v>19</v>
      </c>
      <c r="D761" s="4" t="s">
        <v>5</v>
      </c>
      <c r="E761" s="53">
        <v>24</v>
      </c>
      <c r="F761" s="11">
        <f>SUM(DistMeetingQuota[[#This Row],[Sep]:[Feb]])</f>
        <v>2</v>
      </c>
      <c r="G761" s="11">
        <f>DistMeetingQuota[[#This Row],[Quota]]-DistMeetingQuota[[#This Row],[Actual]]</f>
        <v>22</v>
      </c>
      <c r="H761" s="49">
        <f>DistMeetingQuota[[#This Row],[Actual]]/DistMeetingQuota[[#This Row],[Quota]]</f>
        <v>8.3333333333333329E-2</v>
      </c>
      <c r="I761" s="4">
        <v>2</v>
      </c>
      <c r="J761" s="2"/>
      <c r="K761" s="2"/>
      <c r="L761" s="2"/>
      <c r="M761" s="2"/>
      <c r="N761" s="2"/>
      <c r="O761" s="2"/>
      <c r="P761" s="139" t="s">
        <v>692</v>
      </c>
      <c r="Q761" s="2"/>
    </row>
    <row r="762" spans="1:17" s="109" customFormat="1" ht="30">
      <c r="A762" s="4">
        <v>2292758</v>
      </c>
      <c r="B762" s="138" t="s">
        <v>694</v>
      </c>
      <c r="C762" s="4" t="s">
        <v>19</v>
      </c>
      <c r="D762" s="4" t="s">
        <v>11</v>
      </c>
      <c r="E762" s="53">
        <v>2</v>
      </c>
      <c r="F762" s="11">
        <f>SUM(DistMeetingQuota[[#This Row],[Sep]:[Feb]])</f>
        <v>0</v>
      </c>
      <c r="G762" s="11">
        <f>DistMeetingQuota[[#This Row],[Quota]]-DistMeetingQuota[[#This Row],[Actual]]</f>
        <v>2</v>
      </c>
      <c r="H762" s="49">
        <f>DistMeetingQuota[[#This Row],[Actual]]/DistMeetingQuota[[#This Row],[Quota]]</f>
        <v>0</v>
      </c>
      <c r="I762" s="4"/>
      <c r="J762" s="2"/>
      <c r="K762" s="2"/>
      <c r="L762" s="2"/>
      <c r="M762" s="2"/>
      <c r="N762" s="2"/>
      <c r="O762" s="2"/>
      <c r="P762" s="139" t="s">
        <v>692</v>
      </c>
      <c r="Q762" s="2"/>
    </row>
    <row r="763" spans="1:17" s="109" customFormat="1">
      <c r="A763" s="4">
        <v>2031025</v>
      </c>
      <c r="B763" s="138" t="s">
        <v>695</v>
      </c>
      <c r="C763" s="4" t="s">
        <v>19</v>
      </c>
      <c r="D763" s="4" t="s">
        <v>5</v>
      </c>
      <c r="E763" s="53">
        <v>24</v>
      </c>
      <c r="F763" s="11">
        <f>SUM(DistMeetingQuota[[#This Row],[Sep]:[Feb]])</f>
        <v>0</v>
      </c>
      <c r="G763" s="11">
        <f>DistMeetingQuota[[#This Row],[Quota]]-DistMeetingQuota[[#This Row],[Actual]]</f>
        <v>24</v>
      </c>
      <c r="H763" s="49">
        <f>DistMeetingQuota[[#This Row],[Actual]]/DistMeetingQuota[[#This Row],[Quota]]</f>
        <v>0</v>
      </c>
      <c r="I763" s="4"/>
      <c r="J763" s="2"/>
      <c r="K763" s="2"/>
      <c r="L763" s="2"/>
      <c r="M763" s="2"/>
      <c r="N763" s="2"/>
      <c r="O763" s="2"/>
      <c r="P763" s="139" t="s">
        <v>56</v>
      </c>
      <c r="Q763" s="2"/>
    </row>
    <row r="764" spans="1:17" s="109" customFormat="1">
      <c r="A764" s="4">
        <v>2031025</v>
      </c>
      <c r="B764" s="138" t="s">
        <v>695</v>
      </c>
      <c r="C764" s="4" t="s">
        <v>19</v>
      </c>
      <c r="D764" s="4" t="s">
        <v>11</v>
      </c>
      <c r="E764" s="53">
        <v>2</v>
      </c>
      <c r="F764" s="11">
        <f>SUM(DistMeetingQuota[[#This Row],[Sep]:[Feb]])</f>
        <v>0</v>
      </c>
      <c r="G764" s="11">
        <f>DistMeetingQuota[[#This Row],[Quota]]-DistMeetingQuota[[#This Row],[Actual]]</f>
        <v>2</v>
      </c>
      <c r="H764" s="49">
        <f>DistMeetingQuota[[#This Row],[Actual]]/DistMeetingQuota[[#This Row],[Quota]]</f>
        <v>0</v>
      </c>
      <c r="I764" s="4"/>
      <c r="J764" s="2"/>
      <c r="K764" s="2"/>
      <c r="L764" s="2"/>
      <c r="M764" s="2"/>
      <c r="N764" s="2"/>
      <c r="O764" s="2"/>
      <c r="P764" s="139" t="s">
        <v>56</v>
      </c>
      <c r="Q764" s="2"/>
    </row>
    <row r="765" spans="1:17" s="109" customFormat="1" ht="30">
      <c r="A765" s="4">
        <v>2236016</v>
      </c>
      <c r="B765" s="138" t="s">
        <v>696</v>
      </c>
      <c r="C765" s="4" t="s">
        <v>19</v>
      </c>
      <c r="D765" s="4" t="s">
        <v>5</v>
      </c>
      <c r="E765" s="53">
        <v>24</v>
      </c>
      <c r="F765" s="11">
        <f>SUM(DistMeetingQuota[[#This Row],[Sep]:[Feb]])</f>
        <v>0</v>
      </c>
      <c r="G765" s="11">
        <f>DistMeetingQuota[[#This Row],[Quota]]-DistMeetingQuota[[#This Row],[Actual]]</f>
        <v>24</v>
      </c>
      <c r="H765" s="49">
        <f>DistMeetingQuota[[#This Row],[Actual]]/DistMeetingQuota[[#This Row],[Quota]]</f>
        <v>0</v>
      </c>
      <c r="I765" s="4"/>
      <c r="J765" s="2"/>
      <c r="K765" s="2"/>
      <c r="L765" s="2"/>
      <c r="M765" s="2"/>
      <c r="N765" s="2"/>
      <c r="O765" s="2"/>
      <c r="P765" s="139" t="s">
        <v>474</v>
      </c>
      <c r="Q765" s="2"/>
    </row>
    <row r="766" spans="1:17" s="109" customFormat="1" ht="30">
      <c r="A766" s="4">
        <v>2190827</v>
      </c>
      <c r="B766" s="138" t="s">
        <v>697</v>
      </c>
      <c r="C766" s="4" t="s">
        <v>19</v>
      </c>
      <c r="D766" s="4" t="s">
        <v>5</v>
      </c>
      <c r="E766" s="53">
        <v>24</v>
      </c>
      <c r="F766" s="11">
        <f>SUM(DistMeetingQuota[[#This Row],[Sep]:[Feb]])</f>
        <v>0</v>
      </c>
      <c r="G766" s="11">
        <f>DistMeetingQuota[[#This Row],[Quota]]-DistMeetingQuota[[#This Row],[Actual]]</f>
        <v>24</v>
      </c>
      <c r="H766" s="49">
        <f>DistMeetingQuota[[#This Row],[Actual]]/DistMeetingQuota[[#This Row],[Quota]]</f>
        <v>0</v>
      </c>
      <c r="I766" s="4"/>
      <c r="J766" s="2"/>
      <c r="K766" s="2"/>
      <c r="L766" s="2"/>
      <c r="M766" s="2"/>
      <c r="N766" s="2"/>
      <c r="O766" s="2"/>
      <c r="P766" s="139" t="s">
        <v>470</v>
      </c>
      <c r="Q766" s="2"/>
    </row>
    <row r="767" spans="1:17" s="109" customFormat="1">
      <c r="A767" s="4">
        <v>2092092</v>
      </c>
      <c r="B767" s="138" t="s">
        <v>699</v>
      </c>
      <c r="C767" s="4" t="s">
        <v>19</v>
      </c>
      <c r="D767" s="4" t="s">
        <v>5</v>
      </c>
      <c r="E767" s="53">
        <v>24</v>
      </c>
      <c r="F767" s="11">
        <f>SUM(DistMeetingQuota[[#This Row],[Sep]:[Feb]])</f>
        <v>0</v>
      </c>
      <c r="G767" s="11">
        <f>DistMeetingQuota[[#This Row],[Quota]]-DistMeetingQuota[[#This Row],[Actual]]</f>
        <v>24</v>
      </c>
      <c r="H767" s="49">
        <f>DistMeetingQuota[[#This Row],[Actual]]/DistMeetingQuota[[#This Row],[Quota]]</f>
        <v>0</v>
      </c>
      <c r="I767" s="4"/>
      <c r="J767" s="2"/>
      <c r="K767" s="2"/>
      <c r="L767" s="2"/>
      <c r="M767" s="153"/>
      <c r="N767" s="2"/>
      <c r="O767" s="2"/>
      <c r="P767" s="139" t="s">
        <v>59</v>
      </c>
      <c r="Q767" s="2"/>
    </row>
    <row r="768" spans="1:17" s="109" customFormat="1">
      <c r="A768" s="4">
        <v>2235117</v>
      </c>
      <c r="B768" s="138" t="s">
        <v>700</v>
      </c>
      <c r="C768" s="4" t="s">
        <v>19</v>
      </c>
      <c r="D768" s="4" t="s">
        <v>5</v>
      </c>
      <c r="E768" s="53">
        <v>24</v>
      </c>
      <c r="F768" s="11">
        <f>SUM(DistMeetingQuota[[#This Row],[Sep]:[Feb]])</f>
        <v>22</v>
      </c>
      <c r="G768" s="11">
        <f>DistMeetingQuota[[#This Row],[Quota]]-DistMeetingQuota[[#This Row],[Actual]]</f>
        <v>2</v>
      </c>
      <c r="H768" s="49">
        <f>DistMeetingQuota[[#This Row],[Actual]]/DistMeetingQuota[[#This Row],[Quota]]</f>
        <v>0.91666666666666663</v>
      </c>
      <c r="I768" s="4">
        <v>4</v>
      </c>
      <c r="J768" s="2">
        <v>4</v>
      </c>
      <c r="K768" s="2">
        <v>4</v>
      </c>
      <c r="L768" s="2">
        <v>4</v>
      </c>
      <c r="M768" s="2">
        <v>4</v>
      </c>
      <c r="N768" s="2">
        <v>2</v>
      </c>
      <c r="O768" s="2"/>
      <c r="P768" s="139" t="s">
        <v>471</v>
      </c>
      <c r="Q768" s="2"/>
    </row>
    <row r="769" spans="1:17" s="109" customFormat="1">
      <c r="A769" s="4">
        <v>2215014</v>
      </c>
      <c r="B769" s="138" t="s">
        <v>701</v>
      </c>
      <c r="C769" s="4" t="s">
        <v>19</v>
      </c>
      <c r="D769" s="4" t="s">
        <v>11</v>
      </c>
      <c r="E769" s="53">
        <v>2</v>
      </c>
      <c r="F769" s="11">
        <f>SUM(DistMeetingQuota[[#This Row],[Sep]:[Feb]])</f>
        <v>0</v>
      </c>
      <c r="G769" s="11">
        <f>DistMeetingQuota[[#This Row],[Quota]]-DistMeetingQuota[[#This Row],[Actual]]</f>
        <v>2</v>
      </c>
      <c r="H769" s="49">
        <f>DistMeetingQuota[[#This Row],[Actual]]/DistMeetingQuota[[#This Row],[Quota]]</f>
        <v>0</v>
      </c>
      <c r="I769" s="4"/>
      <c r="J769" s="2"/>
      <c r="K769" s="2"/>
      <c r="L769" s="2"/>
      <c r="M769" s="2"/>
      <c r="N769" s="2"/>
      <c r="O769" s="2"/>
      <c r="P769" s="139" t="s">
        <v>56</v>
      </c>
      <c r="Q769" s="2"/>
    </row>
    <row r="770" spans="1:17" s="109" customFormat="1">
      <c r="A770" s="4">
        <v>2215014</v>
      </c>
      <c r="B770" s="138" t="s">
        <v>701</v>
      </c>
      <c r="C770" s="4" t="s">
        <v>19</v>
      </c>
      <c r="D770" s="4" t="s">
        <v>5</v>
      </c>
      <c r="E770" s="53">
        <v>24</v>
      </c>
      <c r="F770" s="11">
        <f>SUM(DistMeetingQuota[[#This Row],[Sep]:[Feb]])</f>
        <v>0</v>
      </c>
      <c r="G770" s="11">
        <f>DistMeetingQuota[[#This Row],[Quota]]-DistMeetingQuota[[#This Row],[Actual]]</f>
        <v>24</v>
      </c>
      <c r="H770" s="49">
        <f>DistMeetingQuota[[#This Row],[Actual]]/DistMeetingQuota[[#This Row],[Quota]]</f>
        <v>0</v>
      </c>
      <c r="I770" s="4"/>
      <c r="J770" s="2"/>
      <c r="K770" s="2"/>
      <c r="L770" s="2"/>
      <c r="M770" s="2"/>
      <c r="N770" s="2"/>
      <c r="O770" s="2"/>
      <c r="P770" s="139" t="s">
        <v>56</v>
      </c>
      <c r="Q770" s="2"/>
    </row>
    <row r="771" spans="1:17" s="109" customFormat="1" ht="30">
      <c r="A771" s="4">
        <v>2162660</v>
      </c>
      <c r="B771" s="138" t="s">
        <v>702</v>
      </c>
      <c r="C771" s="4" t="s">
        <v>19</v>
      </c>
      <c r="D771" s="4" t="s">
        <v>11</v>
      </c>
      <c r="E771" s="53">
        <v>2</v>
      </c>
      <c r="F771" s="11">
        <f>SUM(DistMeetingQuota[[#This Row],[Sep]:[Feb]])</f>
        <v>0</v>
      </c>
      <c r="G771" s="11">
        <f>DistMeetingQuota[[#This Row],[Quota]]-DistMeetingQuota[[#This Row],[Actual]]</f>
        <v>2</v>
      </c>
      <c r="H771" s="49">
        <f>DistMeetingQuota[[#This Row],[Actual]]/DistMeetingQuota[[#This Row],[Quota]]</f>
        <v>0</v>
      </c>
      <c r="I771" s="4"/>
      <c r="J771" s="2"/>
      <c r="K771" s="2"/>
      <c r="L771" s="2"/>
      <c r="M771" s="2"/>
      <c r="N771" s="2"/>
      <c r="O771" s="2"/>
      <c r="P771" s="139" t="s">
        <v>473</v>
      </c>
      <c r="Q771" s="2"/>
    </row>
    <row r="772" spans="1:17" s="109" customFormat="1" ht="30">
      <c r="A772" s="4">
        <v>2162660</v>
      </c>
      <c r="B772" s="138" t="s">
        <v>702</v>
      </c>
      <c r="C772" s="4" t="s">
        <v>19</v>
      </c>
      <c r="D772" s="4" t="s">
        <v>5</v>
      </c>
      <c r="E772" s="53">
        <v>24</v>
      </c>
      <c r="F772" s="11">
        <f>SUM(DistMeetingQuota[[#This Row],[Sep]:[Feb]])</f>
        <v>1</v>
      </c>
      <c r="G772" s="11">
        <f>DistMeetingQuota[[#This Row],[Quota]]-DistMeetingQuota[[#This Row],[Actual]]</f>
        <v>23</v>
      </c>
      <c r="H772" s="49">
        <f>DistMeetingQuota[[#This Row],[Actual]]/DistMeetingQuota[[#This Row],[Quota]]</f>
        <v>4.1666666666666664E-2</v>
      </c>
      <c r="I772" s="4">
        <v>1</v>
      </c>
      <c r="J772" s="2"/>
      <c r="K772" s="2"/>
      <c r="L772" s="2"/>
      <c r="M772" s="2"/>
      <c r="N772" s="2"/>
      <c r="O772" s="2"/>
      <c r="P772" s="139" t="s">
        <v>473</v>
      </c>
      <c r="Q772" s="2"/>
    </row>
    <row r="773" spans="1:17" s="109" customFormat="1" ht="30">
      <c r="A773" s="4">
        <v>2261264</v>
      </c>
      <c r="B773" s="138" t="s">
        <v>703</v>
      </c>
      <c r="C773" s="4" t="s">
        <v>19</v>
      </c>
      <c r="D773" s="4" t="s">
        <v>11</v>
      </c>
      <c r="E773" s="53">
        <v>2</v>
      </c>
      <c r="F773" s="11">
        <f>SUM(DistMeetingQuota[[#This Row],[Sep]:[Feb]])</f>
        <v>0</v>
      </c>
      <c r="G773" s="11">
        <f>DistMeetingQuota[[#This Row],[Quota]]-DistMeetingQuota[[#This Row],[Actual]]</f>
        <v>2</v>
      </c>
      <c r="H773" s="49">
        <f>DistMeetingQuota[[#This Row],[Actual]]/DistMeetingQuota[[#This Row],[Quota]]</f>
        <v>0</v>
      </c>
      <c r="I773" s="4"/>
      <c r="J773" s="2"/>
      <c r="K773" s="2"/>
      <c r="L773" s="2"/>
      <c r="M773" s="2"/>
      <c r="N773" s="2"/>
      <c r="O773" s="2"/>
      <c r="P773" s="139" t="s">
        <v>14</v>
      </c>
      <c r="Q773" s="2"/>
    </row>
    <row r="774" spans="1:17" s="109" customFormat="1" ht="30">
      <c r="A774" s="4">
        <v>2151837</v>
      </c>
      <c r="B774" s="138" t="s">
        <v>704</v>
      </c>
      <c r="C774" s="4" t="s">
        <v>22</v>
      </c>
      <c r="D774" s="4" t="s">
        <v>13</v>
      </c>
      <c r="E774" s="53">
        <v>3</v>
      </c>
      <c r="F774" s="11">
        <f>SUM(DistMeetingQuota[[#This Row],[Sep]:[Feb]])</f>
        <v>1</v>
      </c>
      <c r="G774" s="11">
        <f>DistMeetingQuota[[#This Row],[Quota]]-DistMeetingQuota[[#This Row],[Actual]]</f>
        <v>2</v>
      </c>
      <c r="H774" s="49">
        <f>DistMeetingQuota[[#This Row],[Actual]]/DistMeetingQuota[[#This Row],[Quota]]</f>
        <v>0.33333333333333331</v>
      </c>
      <c r="I774" s="4">
        <v>1</v>
      </c>
      <c r="J774" s="2"/>
      <c r="K774" s="2"/>
      <c r="L774" s="2"/>
      <c r="M774" s="2"/>
      <c r="N774" s="2"/>
      <c r="O774" s="153"/>
      <c r="P774" s="139" t="s">
        <v>14</v>
      </c>
      <c r="Q774" s="2"/>
    </row>
    <row r="775" spans="1:17" s="109" customFormat="1" ht="30">
      <c r="A775" s="4">
        <v>2435084</v>
      </c>
      <c r="B775" s="138" t="s">
        <v>705</v>
      </c>
      <c r="C775" s="4" t="s">
        <v>19</v>
      </c>
      <c r="D775" s="4" t="s">
        <v>11</v>
      </c>
      <c r="E775" s="53">
        <v>2</v>
      </c>
      <c r="F775" s="11">
        <f>SUM(DistMeetingQuota[[#This Row],[Sep]:[Feb]])</f>
        <v>0</v>
      </c>
      <c r="G775" s="11">
        <f>DistMeetingQuota[[#This Row],[Quota]]-DistMeetingQuota[[#This Row],[Actual]]</f>
        <v>2</v>
      </c>
      <c r="H775" s="49">
        <f>DistMeetingQuota[[#This Row],[Actual]]/DistMeetingQuota[[#This Row],[Quota]]</f>
        <v>0</v>
      </c>
      <c r="I775" s="4"/>
      <c r="J775" s="2"/>
      <c r="K775" s="2"/>
      <c r="L775" s="2"/>
      <c r="M775" s="2"/>
      <c r="N775" s="2"/>
      <c r="O775" s="2"/>
      <c r="P775" s="139" t="s">
        <v>14</v>
      </c>
      <c r="Q775" s="2"/>
    </row>
    <row r="776" spans="1:17" s="109" customFormat="1" ht="30">
      <c r="A776" s="4">
        <v>2419401</v>
      </c>
      <c r="B776" s="138" t="s">
        <v>706</v>
      </c>
      <c r="C776" s="4" t="s">
        <v>19</v>
      </c>
      <c r="D776" s="4" t="s">
        <v>11</v>
      </c>
      <c r="E776" s="53">
        <v>2</v>
      </c>
      <c r="F776" s="11">
        <f>SUM(DistMeetingQuota[[#This Row],[Sep]:[Feb]])</f>
        <v>0</v>
      </c>
      <c r="G776" s="11">
        <f>DistMeetingQuota[[#This Row],[Quota]]-DistMeetingQuota[[#This Row],[Actual]]</f>
        <v>2</v>
      </c>
      <c r="H776" s="49">
        <f>DistMeetingQuota[[#This Row],[Actual]]/DistMeetingQuota[[#This Row],[Quota]]</f>
        <v>0</v>
      </c>
      <c r="I776" s="4"/>
      <c r="J776" s="2"/>
      <c r="K776" s="2"/>
      <c r="L776" s="2"/>
      <c r="M776" s="2"/>
      <c r="N776" s="2"/>
      <c r="O776" s="2"/>
      <c r="P776" s="139" t="s">
        <v>14</v>
      </c>
      <c r="Q776" s="2"/>
    </row>
    <row r="777" spans="1:17" s="109" customFormat="1">
      <c r="A777" s="4">
        <v>2170353</v>
      </c>
      <c r="B777" s="138" t="s">
        <v>709</v>
      </c>
      <c r="C777" s="4" t="s">
        <v>19</v>
      </c>
      <c r="D777" s="4" t="s">
        <v>11</v>
      </c>
      <c r="E777" s="53">
        <v>2</v>
      </c>
      <c r="F777" s="11">
        <f>SUM(DistMeetingQuota[[#This Row],[Sep]:[Feb]])</f>
        <v>0</v>
      </c>
      <c r="G777" s="11">
        <f>DistMeetingQuota[[#This Row],[Quota]]-DistMeetingQuota[[#This Row],[Actual]]</f>
        <v>2</v>
      </c>
      <c r="H777" s="49">
        <f>DistMeetingQuota[[#This Row],[Actual]]/DistMeetingQuota[[#This Row],[Quota]]</f>
        <v>0</v>
      </c>
      <c r="I777" s="4"/>
      <c r="J777" s="2"/>
      <c r="K777" s="2"/>
      <c r="L777" s="2"/>
      <c r="M777" s="2"/>
      <c r="N777" s="2"/>
      <c r="O777" s="2"/>
      <c r="P777" s="139" t="s">
        <v>10</v>
      </c>
      <c r="Q777" s="2"/>
    </row>
    <row r="778" spans="1:17" s="109" customFormat="1">
      <c r="A778" s="4">
        <v>2164696</v>
      </c>
      <c r="B778" s="138" t="s">
        <v>710</v>
      </c>
      <c r="C778" s="4" t="s">
        <v>19</v>
      </c>
      <c r="D778" s="4" t="s">
        <v>5</v>
      </c>
      <c r="E778" s="53">
        <v>24</v>
      </c>
      <c r="F778" s="11">
        <f>SUM(DistMeetingQuota[[#This Row],[Sep]:[Feb]])</f>
        <v>0</v>
      </c>
      <c r="G778" s="11">
        <f>DistMeetingQuota[[#This Row],[Quota]]-DistMeetingQuota[[#This Row],[Actual]]</f>
        <v>24</v>
      </c>
      <c r="H778" s="49">
        <f>DistMeetingQuota[[#This Row],[Actual]]/DistMeetingQuota[[#This Row],[Quota]]</f>
        <v>0</v>
      </c>
      <c r="I778" s="4"/>
      <c r="J778" s="2"/>
      <c r="K778" s="2"/>
      <c r="L778" s="2"/>
      <c r="M778" s="2"/>
      <c r="N778" s="2"/>
      <c r="O778" s="2"/>
      <c r="P778" s="139" t="s">
        <v>10</v>
      </c>
      <c r="Q778" s="2"/>
    </row>
    <row r="779" spans="1:17" s="109" customFormat="1">
      <c r="A779" s="4">
        <v>2164696</v>
      </c>
      <c r="B779" s="138" t="s">
        <v>710</v>
      </c>
      <c r="C779" s="4" t="s">
        <v>19</v>
      </c>
      <c r="D779" s="4" t="s">
        <v>11</v>
      </c>
      <c r="E779" s="53">
        <v>2</v>
      </c>
      <c r="F779" s="11">
        <f>SUM(DistMeetingQuota[[#This Row],[Sep]:[Feb]])</f>
        <v>2</v>
      </c>
      <c r="G779" s="11">
        <f>DistMeetingQuota[[#This Row],[Quota]]-DistMeetingQuota[[#This Row],[Actual]]</f>
        <v>0</v>
      </c>
      <c r="H779" s="49">
        <f>DistMeetingQuota[[#This Row],[Actual]]/DistMeetingQuota[[#This Row],[Quota]]</f>
        <v>1</v>
      </c>
      <c r="I779" s="4">
        <v>1</v>
      </c>
      <c r="J779" s="2"/>
      <c r="K779" s="2"/>
      <c r="L779" s="2">
        <v>1</v>
      </c>
      <c r="M779" s="2"/>
      <c r="N779" s="2"/>
      <c r="O779" s="2"/>
      <c r="P779" s="139" t="s">
        <v>10</v>
      </c>
      <c r="Q779" s="2"/>
    </row>
    <row r="780" spans="1:17" s="109" customFormat="1" ht="30">
      <c r="A780" s="4">
        <v>2073692</v>
      </c>
      <c r="B780" s="138" t="s">
        <v>712</v>
      </c>
      <c r="C780" s="4" t="s">
        <v>21</v>
      </c>
      <c r="D780" s="4" t="s">
        <v>11</v>
      </c>
      <c r="E780" s="53">
        <v>3</v>
      </c>
      <c r="F780" s="11">
        <f>SUM(DistMeetingQuota[[#This Row],[Sep]:[Feb]])</f>
        <v>3</v>
      </c>
      <c r="G780" s="11">
        <f>DistMeetingQuota[[#This Row],[Quota]]-DistMeetingQuota[[#This Row],[Actual]]</f>
        <v>0</v>
      </c>
      <c r="H780" s="49">
        <f>DistMeetingQuota[[#This Row],[Actual]]/DistMeetingQuota[[#This Row],[Quota]]</f>
        <v>1</v>
      </c>
      <c r="I780" s="4">
        <v>1</v>
      </c>
      <c r="J780" s="2"/>
      <c r="K780" s="2"/>
      <c r="L780" s="2">
        <v>1</v>
      </c>
      <c r="M780" s="2"/>
      <c r="N780" s="2">
        <v>1</v>
      </c>
      <c r="O780" s="2"/>
      <c r="P780" s="139" t="s">
        <v>10</v>
      </c>
      <c r="Q780" s="2"/>
    </row>
    <row r="781" spans="1:17" s="109" customFormat="1" ht="30">
      <c r="A781" s="4">
        <v>2073692</v>
      </c>
      <c r="B781" s="138" t="s">
        <v>712</v>
      </c>
      <c r="C781" s="4" t="s">
        <v>21</v>
      </c>
      <c r="D781" s="4" t="s">
        <v>13</v>
      </c>
      <c r="E781" s="53">
        <v>2</v>
      </c>
      <c r="F781" s="11">
        <f>SUM(DistMeetingQuota[[#This Row],[Sep]:[Feb]])</f>
        <v>0</v>
      </c>
      <c r="G781" s="11">
        <f>DistMeetingQuota[[#This Row],[Quota]]-DistMeetingQuota[[#This Row],[Actual]]</f>
        <v>2</v>
      </c>
      <c r="H781" s="49">
        <f>DistMeetingQuota[[#This Row],[Actual]]/DistMeetingQuota[[#This Row],[Quota]]</f>
        <v>0</v>
      </c>
      <c r="I781" s="4"/>
      <c r="J781" s="2"/>
      <c r="K781" s="2"/>
      <c r="L781" s="2"/>
      <c r="M781" s="2"/>
      <c r="N781" s="2"/>
      <c r="O781" s="2"/>
      <c r="P781" s="139" t="s">
        <v>10</v>
      </c>
      <c r="Q781" s="2"/>
    </row>
    <row r="782" spans="1:17" s="109" customFormat="1" ht="30">
      <c r="A782" s="4">
        <v>2445748</v>
      </c>
      <c r="B782" s="138" t="s">
        <v>714</v>
      </c>
      <c r="C782" s="4" t="s">
        <v>19</v>
      </c>
      <c r="D782" s="4" t="s">
        <v>11</v>
      </c>
      <c r="E782" s="53">
        <v>2</v>
      </c>
      <c r="F782" s="11">
        <f>SUM(DistMeetingQuota[[#This Row],[Sep]:[Feb]])</f>
        <v>2</v>
      </c>
      <c r="G782" s="11">
        <f>DistMeetingQuota[[#This Row],[Quota]]-DistMeetingQuota[[#This Row],[Actual]]</f>
        <v>0</v>
      </c>
      <c r="H782" s="49">
        <f>DistMeetingQuota[[#This Row],[Actual]]/DistMeetingQuota[[#This Row],[Quota]]</f>
        <v>1</v>
      </c>
      <c r="I782" s="4"/>
      <c r="J782" s="2">
        <v>1</v>
      </c>
      <c r="K782" s="2"/>
      <c r="L782" s="2">
        <v>1</v>
      </c>
      <c r="M782" s="2"/>
      <c r="N782" s="2"/>
      <c r="O782" s="2"/>
      <c r="P782" s="139" t="s">
        <v>10</v>
      </c>
      <c r="Q782" s="2"/>
    </row>
    <row r="783" spans="1:17" s="109" customFormat="1">
      <c r="A783" s="4">
        <v>2052030</v>
      </c>
      <c r="B783" s="138" t="s">
        <v>715</v>
      </c>
      <c r="C783" s="4" t="s">
        <v>19</v>
      </c>
      <c r="D783" s="4" t="s">
        <v>11</v>
      </c>
      <c r="E783" s="53">
        <v>2</v>
      </c>
      <c r="F783" s="11">
        <f>SUM(DistMeetingQuota[[#This Row],[Sep]:[Feb]])</f>
        <v>0</v>
      </c>
      <c r="G783" s="11">
        <f>DistMeetingQuota[[#This Row],[Quota]]-DistMeetingQuota[[#This Row],[Actual]]</f>
        <v>2</v>
      </c>
      <c r="H783" s="49">
        <f>DistMeetingQuota[[#This Row],[Actual]]/DistMeetingQuota[[#This Row],[Quota]]</f>
        <v>0</v>
      </c>
      <c r="I783" s="4"/>
      <c r="J783" s="2"/>
      <c r="K783" s="2"/>
      <c r="L783" s="2"/>
      <c r="M783" s="2"/>
      <c r="N783" s="2"/>
      <c r="O783" s="2"/>
      <c r="P783" s="139" t="s">
        <v>10</v>
      </c>
      <c r="Q783" s="2"/>
    </row>
    <row r="784" spans="1:17" s="109" customFormat="1">
      <c r="A784" s="4">
        <v>2420058</v>
      </c>
      <c r="B784" s="138" t="s">
        <v>713</v>
      </c>
      <c r="C784" s="4" t="s">
        <v>19</v>
      </c>
      <c r="D784" s="4" t="s">
        <v>11</v>
      </c>
      <c r="E784" s="53">
        <v>2</v>
      </c>
      <c r="F784" s="11">
        <f>SUM(DistMeetingQuota[[#This Row],[Sep]:[Feb]])</f>
        <v>2</v>
      </c>
      <c r="G784" s="11">
        <f>DistMeetingQuota[[#This Row],[Quota]]-DistMeetingQuota[[#This Row],[Actual]]</f>
        <v>0</v>
      </c>
      <c r="H784" s="49">
        <f>DistMeetingQuota[[#This Row],[Actual]]/DistMeetingQuota[[#This Row],[Quota]]</f>
        <v>1</v>
      </c>
      <c r="I784" s="4"/>
      <c r="J784" s="2">
        <v>1</v>
      </c>
      <c r="K784" s="2"/>
      <c r="L784" s="2">
        <v>1</v>
      </c>
      <c r="M784" s="2"/>
      <c r="N784" s="2"/>
      <c r="O784" s="2"/>
      <c r="P784" s="139" t="s">
        <v>10</v>
      </c>
      <c r="Q784" s="2"/>
    </row>
    <row r="785" spans="1:17" s="109" customFormat="1">
      <c r="A785" s="4">
        <v>2183626</v>
      </c>
      <c r="B785" s="138" t="s">
        <v>716</v>
      </c>
      <c r="C785" s="4" t="s">
        <v>19</v>
      </c>
      <c r="D785" s="4" t="s">
        <v>5</v>
      </c>
      <c r="E785" s="53">
        <v>24</v>
      </c>
      <c r="F785" s="11">
        <f>SUM(DistMeetingQuota[[#This Row],[Sep]:[Feb]])</f>
        <v>2</v>
      </c>
      <c r="G785" s="11">
        <f>DistMeetingQuota[[#This Row],[Quota]]-DistMeetingQuota[[#This Row],[Actual]]</f>
        <v>22</v>
      </c>
      <c r="H785" s="49">
        <f>DistMeetingQuota[[#This Row],[Actual]]/DistMeetingQuota[[#This Row],[Quota]]</f>
        <v>8.3333333333333329E-2</v>
      </c>
      <c r="I785" s="4">
        <v>2</v>
      </c>
      <c r="J785" s="2"/>
      <c r="K785" s="2"/>
      <c r="L785" s="2"/>
      <c r="M785" s="2"/>
      <c r="N785" s="2"/>
      <c r="O785" s="2"/>
      <c r="P785" s="139" t="s">
        <v>56</v>
      </c>
      <c r="Q785" s="2"/>
    </row>
    <row r="786" spans="1:17" s="109" customFormat="1">
      <c r="A786" s="4">
        <v>2183626</v>
      </c>
      <c r="B786" s="138" t="s">
        <v>716</v>
      </c>
      <c r="C786" s="4" t="s">
        <v>19</v>
      </c>
      <c r="D786" s="4" t="s">
        <v>11</v>
      </c>
      <c r="E786" s="53">
        <v>2</v>
      </c>
      <c r="F786" s="11">
        <f>SUM(DistMeetingQuota[[#This Row],[Sep]:[Feb]])</f>
        <v>2</v>
      </c>
      <c r="G786" s="11">
        <f>DistMeetingQuota[[#This Row],[Quota]]-DistMeetingQuota[[#This Row],[Actual]]</f>
        <v>0</v>
      </c>
      <c r="H786" s="49">
        <f>DistMeetingQuota[[#This Row],[Actual]]/DistMeetingQuota[[#This Row],[Quota]]</f>
        <v>1</v>
      </c>
      <c r="I786" s="4"/>
      <c r="J786" s="2"/>
      <c r="K786" s="2">
        <v>1</v>
      </c>
      <c r="L786" s="2">
        <v>1</v>
      </c>
      <c r="M786" s="2"/>
      <c r="N786" s="2"/>
      <c r="O786" s="2"/>
      <c r="P786" s="139" t="s">
        <v>56</v>
      </c>
      <c r="Q786" s="2"/>
    </row>
    <row r="787" spans="1:17" s="109" customFormat="1">
      <c r="A787" s="4">
        <v>2049346</v>
      </c>
      <c r="B787" s="138" t="s">
        <v>717</v>
      </c>
      <c r="C787" s="4" t="s">
        <v>19</v>
      </c>
      <c r="D787" s="4" t="s">
        <v>5</v>
      </c>
      <c r="E787" s="53">
        <v>24</v>
      </c>
      <c r="F787" s="11">
        <f>SUM(DistMeetingQuota[[#This Row],[Sep]:[Feb]])</f>
        <v>7</v>
      </c>
      <c r="G787" s="11">
        <f>DistMeetingQuota[[#This Row],[Quota]]-DistMeetingQuota[[#This Row],[Actual]]</f>
        <v>17</v>
      </c>
      <c r="H787" s="49">
        <f>DistMeetingQuota[[#This Row],[Actual]]/DistMeetingQuota[[#This Row],[Quota]]</f>
        <v>0.29166666666666669</v>
      </c>
      <c r="I787" s="4"/>
      <c r="J787" s="2"/>
      <c r="K787" s="2">
        <v>4</v>
      </c>
      <c r="L787" s="2">
        <v>2</v>
      </c>
      <c r="M787" s="2">
        <v>1</v>
      </c>
      <c r="N787" s="2"/>
      <c r="O787" s="2"/>
      <c r="P787" s="139" t="s">
        <v>63</v>
      </c>
      <c r="Q787" s="2"/>
    </row>
    <row r="788" spans="1:17" s="109" customFormat="1">
      <c r="A788" s="4">
        <v>2320989</v>
      </c>
      <c r="B788" s="138" t="s">
        <v>718</v>
      </c>
      <c r="C788" s="140" t="s">
        <v>19</v>
      </c>
      <c r="D788" s="4" t="s">
        <v>11</v>
      </c>
      <c r="E788" s="53">
        <v>2</v>
      </c>
      <c r="F788" s="11">
        <f>SUM(DistMeetingQuota[[#This Row],[Sep]:[Feb]])</f>
        <v>0</v>
      </c>
      <c r="G788" s="11">
        <f>DistMeetingQuota[[#This Row],[Quota]]-DistMeetingQuota[[#This Row],[Actual]]</f>
        <v>2</v>
      </c>
      <c r="H788" s="49">
        <f>DistMeetingQuota[[#This Row],[Actual]]/DistMeetingQuota[[#This Row],[Quota]]</f>
        <v>0</v>
      </c>
      <c r="I788" s="4"/>
      <c r="J788" s="2"/>
      <c r="K788" s="2"/>
      <c r="L788" s="2"/>
      <c r="M788" s="2"/>
      <c r="N788" s="2"/>
      <c r="O788" s="2"/>
      <c r="P788" s="139" t="s">
        <v>478</v>
      </c>
      <c r="Q788" s="2"/>
    </row>
    <row r="789" spans="1:17" s="109" customFormat="1">
      <c r="A789" s="4">
        <v>2334307</v>
      </c>
      <c r="B789" s="138" t="s">
        <v>680</v>
      </c>
      <c r="C789" s="4" t="s">
        <v>19</v>
      </c>
      <c r="D789" s="4" t="s">
        <v>11</v>
      </c>
      <c r="E789" s="53">
        <v>2</v>
      </c>
      <c r="F789" s="11">
        <f>SUM(DistMeetingQuota[[#This Row],[Sep]:[Feb]])</f>
        <v>0</v>
      </c>
      <c r="G789" s="11">
        <f>DistMeetingQuota[[#This Row],[Quota]]-DistMeetingQuota[[#This Row],[Actual]]</f>
        <v>2</v>
      </c>
      <c r="H789" s="49">
        <f>DistMeetingQuota[[#This Row],[Actual]]/DistMeetingQuota[[#This Row],[Quota]]</f>
        <v>0</v>
      </c>
      <c r="I789" s="4"/>
      <c r="J789" s="2"/>
      <c r="K789" s="2"/>
      <c r="L789" s="2"/>
      <c r="M789" s="2"/>
      <c r="N789" s="2"/>
      <c r="O789" s="2"/>
      <c r="P789" s="139" t="s">
        <v>471</v>
      </c>
      <c r="Q789" s="2"/>
    </row>
    <row r="790" spans="1:17" s="109" customFormat="1">
      <c r="A790" s="4">
        <v>2491711</v>
      </c>
      <c r="B790" s="138" t="s">
        <v>719</v>
      </c>
      <c r="C790" s="4" t="s">
        <v>19</v>
      </c>
      <c r="D790" s="4" t="s">
        <v>11</v>
      </c>
      <c r="E790" s="53">
        <v>2</v>
      </c>
      <c r="F790" s="11">
        <f>SUM(DistMeetingQuota[[#This Row],[Sep]:[Feb]])</f>
        <v>2</v>
      </c>
      <c r="G790" s="11">
        <f>DistMeetingQuota[[#This Row],[Quota]]-DistMeetingQuota[[#This Row],[Actual]]</f>
        <v>0</v>
      </c>
      <c r="H790" s="49">
        <f>DistMeetingQuota[[#This Row],[Actual]]/DistMeetingQuota[[#This Row],[Quota]]</f>
        <v>1</v>
      </c>
      <c r="I790" s="4"/>
      <c r="J790" s="2"/>
      <c r="K790" s="2">
        <v>2</v>
      </c>
      <c r="L790" s="2"/>
      <c r="M790" s="2"/>
      <c r="N790" s="2"/>
      <c r="O790" s="2"/>
      <c r="P790" s="139" t="s">
        <v>63</v>
      </c>
      <c r="Q790" s="2"/>
    </row>
    <row r="791" spans="1:17" s="109" customFormat="1">
      <c r="A791" s="4">
        <v>2491711</v>
      </c>
      <c r="B791" s="138" t="s">
        <v>719</v>
      </c>
      <c r="C791" s="4" t="s">
        <v>19</v>
      </c>
      <c r="D791" s="4" t="s">
        <v>5</v>
      </c>
      <c r="E791" s="53">
        <v>24</v>
      </c>
      <c r="F791" s="11">
        <f>SUM(DistMeetingQuota[[#This Row],[Sep]:[Feb]])</f>
        <v>23</v>
      </c>
      <c r="G791" s="11">
        <f>DistMeetingQuota[[#This Row],[Quota]]-DistMeetingQuota[[#This Row],[Actual]]</f>
        <v>1</v>
      </c>
      <c r="H791" s="49">
        <f>DistMeetingQuota[[#This Row],[Actual]]/DistMeetingQuota[[#This Row],[Quota]]</f>
        <v>0.95833333333333337</v>
      </c>
      <c r="I791" s="4">
        <v>9</v>
      </c>
      <c r="J791" s="2">
        <v>4</v>
      </c>
      <c r="K791" s="2">
        <v>6</v>
      </c>
      <c r="L791" s="2">
        <v>4</v>
      </c>
      <c r="M791" s="2"/>
      <c r="N791" s="2"/>
      <c r="O791" s="2"/>
      <c r="P791" s="139" t="s">
        <v>63</v>
      </c>
      <c r="Q791" s="2"/>
    </row>
    <row r="792" spans="1:17" s="109" customFormat="1" ht="30">
      <c r="A792" s="4">
        <v>2348288</v>
      </c>
      <c r="B792" s="138" t="s">
        <v>720</v>
      </c>
      <c r="C792" s="4" t="s">
        <v>19</v>
      </c>
      <c r="D792" s="4" t="s">
        <v>5</v>
      </c>
      <c r="E792" s="53">
        <v>24</v>
      </c>
      <c r="F792" s="11">
        <f>SUM(DistMeetingQuota[[#This Row],[Sep]:[Feb]])</f>
        <v>0</v>
      </c>
      <c r="G792" s="11">
        <f>DistMeetingQuota[[#This Row],[Quota]]-DistMeetingQuota[[#This Row],[Actual]]</f>
        <v>24</v>
      </c>
      <c r="H792" s="49">
        <f>DistMeetingQuota[[#This Row],[Actual]]/DistMeetingQuota[[#This Row],[Quota]]</f>
        <v>0</v>
      </c>
      <c r="I792" s="4"/>
      <c r="J792" s="2"/>
      <c r="K792" s="2"/>
      <c r="L792" s="2"/>
      <c r="M792" s="2"/>
      <c r="N792" s="2"/>
      <c r="O792" s="2"/>
      <c r="P792" s="139" t="s">
        <v>56</v>
      </c>
      <c r="Q792" s="2"/>
    </row>
    <row r="793" spans="1:17" s="109" customFormat="1" ht="30">
      <c r="A793" s="4">
        <v>2348288</v>
      </c>
      <c r="B793" s="138" t="s">
        <v>720</v>
      </c>
      <c r="C793" s="4" t="s">
        <v>19</v>
      </c>
      <c r="D793" s="4" t="s">
        <v>11</v>
      </c>
      <c r="E793" s="53">
        <v>2</v>
      </c>
      <c r="F793" s="11">
        <f>SUM(DistMeetingQuota[[#This Row],[Sep]:[Feb]])</f>
        <v>1</v>
      </c>
      <c r="G793" s="11">
        <f>DistMeetingQuota[[#This Row],[Quota]]-DistMeetingQuota[[#This Row],[Actual]]</f>
        <v>1</v>
      </c>
      <c r="H793" s="49">
        <f>DistMeetingQuota[[#This Row],[Actual]]/DistMeetingQuota[[#This Row],[Quota]]</f>
        <v>0.5</v>
      </c>
      <c r="I793" s="4"/>
      <c r="J793" s="2"/>
      <c r="K793" s="2"/>
      <c r="L793" s="2">
        <v>1</v>
      </c>
      <c r="M793" s="2"/>
      <c r="N793" s="2"/>
      <c r="O793" s="2"/>
      <c r="P793" s="139" t="s">
        <v>56</v>
      </c>
      <c r="Q793" s="2"/>
    </row>
    <row r="794" spans="1:17" s="109" customFormat="1">
      <c r="A794" s="4">
        <v>2147117</v>
      </c>
      <c r="B794" s="138" t="s">
        <v>722</v>
      </c>
      <c r="C794" s="4" t="s">
        <v>19</v>
      </c>
      <c r="D794" s="78" t="s">
        <v>5</v>
      </c>
      <c r="E794" s="53">
        <v>24</v>
      </c>
      <c r="F794" s="11">
        <f>SUM(DistMeetingQuota[[#This Row],[Sep]:[Feb]])</f>
        <v>15</v>
      </c>
      <c r="G794" s="11">
        <f>DistMeetingQuota[[#This Row],[Quota]]-DistMeetingQuota[[#This Row],[Actual]]</f>
        <v>9</v>
      </c>
      <c r="H794" s="49">
        <f>DistMeetingQuota[[#This Row],[Actual]]/DistMeetingQuota[[#This Row],[Quota]]</f>
        <v>0.625</v>
      </c>
      <c r="I794" s="4">
        <v>4</v>
      </c>
      <c r="J794" s="2">
        <v>3</v>
      </c>
      <c r="K794" s="2">
        <v>4</v>
      </c>
      <c r="L794" s="2">
        <v>4</v>
      </c>
      <c r="M794" s="2"/>
      <c r="N794" s="2"/>
      <c r="O794" s="2"/>
      <c r="P794" s="139" t="s">
        <v>698</v>
      </c>
      <c r="Q794" s="2"/>
    </row>
    <row r="795" spans="1:17" s="109" customFormat="1" ht="30">
      <c r="A795" s="4">
        <v>2252409</v>
      </c>
      <c r="B795" s="138" t="s">
        <v>721</v>
      </c>
      <c r="C795" s="4" t="s">
        <v>19</v>
      </c>
      <c r="D795" s="4" t="s">
        <v>5</v>
      </c>
      <c r="E795" s="53">
        <v>24</v>
      </c>
      <c r="F795" s="11">
        <f>SUM(DistMeetingQuota[[#This Row],[Sep]:[Feb]])</f>
        <v>16</v>
      </c>
      <c r="G795" s="11">
        <f>DistMeetingQuota[[#This Row],[Quota]]-DistMeetingQuota[[#This Row],[Actual]]</f>
        <v>8</v>
      </c>
      <c r="H795" s="49">
        <f>DistMeetingQuota[[#This Row],[Actual]]/DistMeetingQuota[[#This Row],[Quota]]</f>
        <v>0.66666666666666663</v>
      </c>
      <c r="I795" s="4"/>
      <c r="J795" s="2"/>
      <c r="K795" s="2">
        <v>4</v>
      </c>
      <c r="L795" s="2">
        <v>4</v>
      </c>
      <c r="M795" s="2">
        <v>4</v>
      </c>
      <c r="N795" s="2">
        <v>4</v>
      </c>
      <c r="O795" s="2"/>
      <c r="P795" s="139" t="s">
        <v>14</v>
      </c>
      <c r="Q795" s="2"/>
    </row>
    <row r="796" spans="1:17" s="109" customFormat="1" ht="30">
      <c r="A796" s="4">
        <v>2252409</v>
      </c>
      <c r="B796" s="138" t="s">
        <v>721</v>
      </c>
      <c r="C796" s="4" t="s">
        <v>19</v>
      </c>
      <c r="D796" s="4" t="s">
        <v>11</v>
      </c>
      <c r="E796" s="53">
        <v>2</v>
      </c>
      <c r="F796" s="11">
        <f>SUM(DistMeetingQuota[[#This Row],[Sep]:[Feb]])</f>
        <v>2</v>
      </c>
      <c r="G796" s="11">
        <f>DistMeetingQuota[[#This Row],[Quota]]-DistMeetingQuota[[#This Row],[Actual]]</f>
        <v>0</v>
      </c>
      <c r="H796" s="49">
        <f>DistMeetingQuota[[#This Row],[Actual]]/DistMeetingQuota[[#This Row],[Quota]]</f>
        <v>1</v>
      </c>
      <c r="I796" s="4"/>
      <c r="J796" s="2">
        <v>2</v>
      </c>
      <c r="K796" s="2"/>
      <c r="L796" s="2"/>
      <c r="M796" s="2"/>
      <c r="N796" s="2"/>
      <c r="O796" s="2"/>
      <c r="P796" s="139" t="s">
        <v>14</v>
      </c>
      <c r="Q796" s="2"/>
    </row>
    <row r="797" spans="1:17" s="109" customFormat="1" ht="30">
      <c r="A797" s="4">
        <v>2245353</v>
      </c>
      <c r="B797" s="138" t="s">
        <v>723</v>
      </c>
      <c r="C797" s="4" t="s">
        <v>19</v>
      </c>
      <c r="D797" s="78" t="s">
        <v>11</v>
      </c>
      <c r="E797" s="53">
        <v>2</v>
      </c>
      <c r="F797" s="11">
        <f>SUM(DistMeetingQuota[[#This Row],[Sep]:[Feb]])</f>
        <v>2</v>
      </c>
      <c r="G797" s="11">
        <f>DistMeetingQuota[[#This Row],[Quota]]-DistMeetingQuota[[#This Row],[Actual]]</f>
        <v>0</v>
      </c>
      <c r="H797" s="49">
        <f>DistMeetingQuota[[#This Row],[Actual]]/DistMeetingQuota[[#This Row],[Quota]]</f>
        <v>1</v>
      </c>
      <c r="I797" s="4"/>
      <c r="J797" s="2">
        <v>1</v>
      </c>
      <c r="K797" s="2"/>
      <c r="L797" s="2"/>
      <c r="M797" s="2">
        <v>1</v>
      </c>
      <c r="N797" s="2"/>
      <c r="O797" s="2"/>
      <c r="P797" s="139" t="s">
        <v>57</v>
      </c>
      <c r="Q797" s="2"/>
    </row>
    <row r="798" spans="1:17" s="109" customFormat="1" ht="30">
      <c r="A798" s="4">
        <v>2245353</v>
      </c>
      <c r="B798" s="138" t="s">
        <v>723</v>
      </c>
      <c r="C798" s="4" t="s">
        <v>19</v>
      </c>
      <c r="D798" s="78" t="s">
        <v>5</v>
      </c>
      <c r="E798" s="53">
        <v>24</v>
      </c>
      <c r="F798" s="11">
        <f>SUM(DistMeetingQuota[[#This Row],[Sep]:[Feb]])</f>
        <v>0</v>
      </c>
      <c r="G798" s="11">
        <f>DistMeetingQuota[[#This Row],[Quota]]-DistMeetingQuota[[#This Row],[Actual]]</f>
        <v>24</v>
      </c>
      <c r="H798" s="49">
        <f>DistMeetingQuota[[#This Row],[Actual]]/DistMeetingQuota[[#This Row],[Quota]]</f>
        <v>0</v>
      </c>
      <c r="I798" s="4"/>
      <c r="J798" s="2"/>
      <c r="K798" s="2"/>
      <c r="L798" s="2"/>
      <c r="M798" s="2"/>
      <c r="N798" s="2"/>
      <c r="O798" s="2"/>
      <c r="P798" s="139" t="s">
        <v>471</v>
      </c>
      <c r="Q798" s="2"/>
    </row>
    <row r="799" spans="1:17" s="109" customFormat="1" ht="30">
      <c r="A799" s="4">
        <v>2177076</v>
      </c>
      <c r="B799" s="138" t="s">
        <v>724</v>
      </c>
      <c r="C799" s="4" t="s">
        <v>19</v>
      </c>
      <c r="D799" s="78" t="s">
        <v>5</v>
      </c>
      <c r="E799" s="53">
        <v>24</v>
      </c>
      <c r="F799" s="11">
        <f>SUM(DistMeetingQuota[[#This Row],[Sep]:[Feb]])</f>
        <v>0</v>
      </c>
      <c r="G799" s="11">
        <f>DistMeetingQuota[[#This Row],[Quota]]-DistMeetingQuota[[#This Row],[Actual]]</f>
        <v>24</v>
      </c>
      <c r="H799" s="49">
        <f>DistMeetingQuota[[#This Row],[Actual]]/DistMeetingQuota[[#This Row],[Quota]]</f>
        <v>0</v>
      </c>
      <c r="I799" s="4"/>
      <c r="J799" s="2"/>
      <c r="K799" s="2"/>
      <c r="L799" s="2"/>
      <c r="M799" s="2"/>
      <c r="N799" s="2"/>
      <c r="O799" s="2"/>
      <c r="P799" s="139" t="s">
        <v>56</v>
      </c>
      <c r="Q799" s="2"/>
    </row>
    <row r="800" spans="1:17" s="109" customFormat="1" ht="30">
      <c r="A800" s="4">
        <v>2139344</v>
      </c>
      <c r="B800" s="138" t="s">
        <v>725</v>
      </c>
      <c r="C800" s="4" t="s">
        <v>19</v>
      </c>
      <c r="D800" s="78" t="s">
        <v>11</v>
      </c>
      <c r="E800" s="53">
        <v>2</v>
      </c>
      <c r="F800" s="11">
        <f>SUM(DistMeetingQuota[[#This Row],[Sep]:[Feb]])</f>
        <v>0</v>
      </c>
      <c r="G800" s="11">
        <f>DistMeetingQuota[[#This Row],[Quota]]-DistMeetingQuota[[#This Row],[Actual]]</f>
        <v>2</v>
      </c>
      <c r="H800" s="49">
        <f>DistMeetingQuota[[#This Row],[Actual]]/DistMeetingQuota[[#This Row],[Quota]]</f>
        <v>0</v>
      </c>
      <c r="I800" s="4"/>
      <c r="J800" s="2"/>
      <c r="K800" s="2"/>
      <c r="L800" s="2"/>
      <c r="M800" s="2"/>
      <c r="N800" s="2"/>
      <c r="O800" s="2"/>
      <c r="P800" s="139" t="s">
        <v>10</v>
      </c>
      <c r="Q800" s="2"/>
    </row>
    <row r="801" spans="1:17" s="109" customFormat="1" ht="30">
      <c r="A801" s="4">
        <v>2191412</v>
      </c>
      <c r="B801" s="138" t="s">
        <v>726</v>
      </c>
      <c r="C801" s="4" t="s">
        <v>19</v>
      </c>
      <c r="D801" s="78" t="s">
        <v>11</v>
      </c>
      <c r="E801" s="53">
        <v>2</v>
      </c>
      <c r="F801" s="11">
        <f>SUM(DistMeetingQuota[[#This Row],[Sep]:[Feb]])</f>
        <v>1</v>
      </c>
      <c r="G801" s="11">
        <f>DistMeetingQuota[[#This Row],[Quota]]-DistMeetingQuota[[#This Row],[Actual]]</f>
        <v>1</v>
      </c>
      <c r="H801" s="49">
        <f>DistMeetingQuota[[#This Row],[Actual]]/DistMeetingQuota[[#This Row],[Quota]]</f>
        <v>0.5</v>
      </c>
      <c r="I801" s="4"/>
      <c r="J801" s="2"/>
      <c r="K801" s="2">
        <v>1</v>
      </c>
      <c r="L801" s="2"/>
      <c r="M801" s="2"/>
      <c r="N801" s="2"/>
      <c r="O801" s="2"/>
      <c r="P801" s="139" t="s">
        <v>475</v>
      </c>
      <c r="Q801" s="2"/>
    </row>
    <row r="802" spans="1:17" s="109" customFormat="1" ht="30">
      <c r="A802" s="4">
        <v>2203403</v>
      </c>
      <c r="B802" s="138" t="s">
        <v>727</v>
      </c>
      <c r="C802" s="4" t="s">
        <v>19</v>
      </c>
      <c r="D802" s="78" t="s">
        <v>11</v>
      </c>
      <c r="E802" s="53">
        <v>2</v>
      </c>
      <c r="F802" s="11">
        <f>SUM(DistMeetingQuota[[#This Row],[Sep]:[Feb]])</f>
        <v>0</v>
      </c>
      <c r="G802" s="11">
        <f>DistMeetingQuota[[#This Row],[Quota]]-DistMeetingQuota[[#This Row],[Actual]]</f>
        <v>2</v>
      </c>
      <c r="H802" s="49">
        <f>DistMeetingQuota[[#This Row],[Actual]]/DistMeetingQuota[[#This Row],[Quota]]</f>
        <v>0</v>
      </c>
      <c r="I802" s="4"/>
      <c r="J802" s="2"/>
      <c r="K802" s="2"/>
      <c r="L802" s="2"/>
      <c r="M802" s="2"/>
      <c r="N802" s="2"/>
      <c r="O802" s="2"/>
      <c r="P802" s="139" t="s">
        <v>10</v>
      </c>
      <c r="Q802" s="2"/>
    </row>
    <row r="803" spans="1:17" s="109" customFormat="1" ht="30">
      <c r="A803" s="4">
        <v>2209207</v>
      </c>
      <c r="B803" s="138" t="s">
        <v>728</v>
      </c>
      <c r="C803" s="4" t="s">
        <v>19</v>
      </c>
      <c r="D803" s="78" t="s">
        <v>11</v>
      </c>
      <c r="E803" s="53">
        <v>2</v>
      </c>
      <c r="F803" s="11">
        <f>SUM(DistMeetingQuota[[#This Row],[Sep]:[Feb]])</f>
        <v>2</v>
      </c>
      <c r="G803" s="11">
        <f>DistMeetingQuota[[#This Row],[Quota]]-DistMeetingQuota[[#This Row],[Actual]]</f>
        <v>0</v>
      </c>
      <c r="H803" s="49">
        <f>DistMeetingQuota[[#This Row],[Actual]]/DistMeetingQuota[[#This Row],[Quota]]</f>
        <v>1</v>
      </c>
      <c r="I803" s="4"/>
      <c r="J803" s="2"/>
      <c r="K803" s="2">
        <v>1</v>
      </c>
      <c r="L803" s="2">
        <v>1</v>
      </c>
      <c r="M803" s="2"/>
      <c r="N803" s="2"/>
      <c r="O803" s="2"/>
      <c r="P803" s="139" t="s">
        <v>10</v>
      </c>
      <c r="Q803" s="2"/>
    </row>
    <row r="804" spans="1:17" s="109" customFormat="1">
      <c r="A804" s="4">
        <v>2424563</v>
      </c>
      <c r="B804" s="138" t="s">
        <v>729</v>
      </c>
      <c r="C804" s="4" t="s">
        <v>19</v>
      </c>
      <c r="D804" s="78" t="s">
        <v>11</v>
      </c>
      <c r="E804" s="53">
        <v>2</v>
      </c>
      <c r="F804" s="11">
        <f>SUM(DistMeetingQuota[[#This Row],[Sep]:[Feb]])</f>
        <v>1</v>
      </c>
      <c r="G804" s="11">
        <f>DistMeetingQuota[[#This Row],[Quota]]-DistMeetingQuota[[#This Row],[Actual]]</f>
        <v>1</v>
      </c>
      <c r="H804" s="49">
        <f>DistMeetingQuota[[#This Row],[Actual]]/DistMeetingQuota[[#This Row],[Quota]]</f>
        <v>0.5</v>
      </c>
      <c r="I804" s="4"/>
      <c r="J804" s="2"/>
      <c r="K804" s="2">
        <v>1</v>
      </c>
      <c r="L804" s="2"/>
      <c r="M804" s="2"/>
      <c r="N804" s="2"/>
      <c r="O804" s="2"/>
      <c r="P804" s="139" t="s">
        <v>10</v>
      </c>
      <c r="Q804" s="2"/>
    </row>
    <row r="805" spans="1:17" s="109" customFormat="1" ht="30">
      <c r="A805" s="4">
        <v>2279272</v>
      </c>
      <c r="B805" s="138" t="s">
        <v>730</v>
      </c>
      <c r="C805" s="4" t="s">
        <v>19</v>
      </c>
      <c r="D805" s="78" t="s">
        <v>11</v>
      </c>
      <c r="E805" s="53">
        <v>2</v>
      </c>
      <c r="F805" s="11">
        <f>SUM(DistMeetingQuota[[#This Row],[Sep]:[Feb]])</f>
        <v>2</v>
      </c>
      <c r="G805" s="11">
        <f>DistMeetingQuota[[#This Row],[Quota]]-DistMeetingQuota[[#This Row],[Actual]]</f>
        <v>0</v>
      </c>
      <c r="H805" s="49">
        <f>DistMeetingQuota[[#This Row],[Actual]]/DistMeetingQuota[[#This Row],[Quota]]</f>
        <v>1</v>
      </c>
      <c r="I805" s="4"/>
      <c r="J805" s="2"/>
      <c r="K805" s="2">
        <v>1</v>
      </c>
      <c r="L805" s="2">
        <v>1</v>
      </c>
      <c r="M805" s="2"/>
      <c r="N805" s="2"/>
      <c r="O805" s="2"/>
      <c r="P805" s="139" t="s">
        <v>10</v>
      </c>
      <c r="Q805" s="2"/>
    </row>
    <row r="806" spans="1:17" s="109" customFormat="1">
      <c r="A806" s="4">
        <v>2022000</v>
      </c>
      <c r="B806" s="138" t="s">
        <v>731</v>
      </c>
      <c r="C806" s="4" t="s">
        <v>19</v>
      </c>
      <c r="D806" s="78" t="s">
        <v>5</v>
      </c>
      <c r="E806" s="53">
        <v>24</v>
      </c>
      <c r="F806" s="11">
        <f>SUM(DistMeetingQuota[[#This Row],[Sep]:[Feb]])</f>
        <v>3</v>
      </c>
      <c r="G806" s="11">
        <f>DistMeetingQuota[[#This Row],[Quota]]-DistMeetingQuota[[#This Row],[Actual]]</f>
        <v>21</v>
      </c>
      <c r="H806" s="49">
        <f>DistMeetingQuota[[#This Row],[Actual]]/DistMeetingQuota[[#This Row],[Quota]]</f>
        <v>0.125</v>
      </c>
      <c r="I806" s="4"/>
      <c r="J806" s="2">
        <v>3</v>
      </c>
      <c r="K806" s="2"/>
      <c r="L806" s="2"/>
      <c r="M806" s="2"/>
      <c r="N806" s="2"/>
      <c r="O806" s="2"/>
      <c r="P806" s="139" t="s">
        <v>10</v>
      </c>
      <c r="Q806" s="2"/>
    </row>
    <row r="807" spans="1:17" s="109" customFormat="1">
      <c r="A807" s="4">
        <v>2022000</v>
      </c>
      <c r="B807" s="138" t="s">
        <v>731</v>
      </c>
      <c r="C807" s="4" t="s">
        <v>19</v>
      </c>
      <c r="D807" s="78" t="s">
        <v>11</v>
      </c>
      <c r="E807" s="53">
        <v>2</v>
      </c>
      <c r="F807" s="11">
        <f>SUM(DistMeetingQuota[[#This Row],[Sep]:[Feb]])</f>
        <v>2</v>
      </c>
      <c r="G807" s="11">
        <f>DistMeetingQuota[[#This Row],[Quota]]-DistMeetingQuota[[#This Row],[Actual]]</f>
        <v>0</v>
      </c>
      <c r="H807" s="49">
        <f>DistMeetingQuota[[#This Row],[Actual]]/DistMeetingQuota[[#This Row],[Quota]]</f>
        <v>1</v>
      </c>
      <c r="I807" s="4">
        <v>1</v>
      </c>
      <c r="J807" s="2"/>
      <c r="K807" s="2">
        <v>1</v>
      </c>
      <c r="L807" s="2"/>
      <c r="M807" s="2"/>
      <c r="N807" s="2"/>
      <c r="O807" s="2"/>
      <c r="P807" s="139" t="s">
        <v>10</v>
      </c>
      <c r="Q807" s="2"/>
    </row>
    <row r="808" spans="1:17" s="109" customFormat="1">
      <c r="A808" s="4">
        <v>2316238</v>
      </c>
      <c r="B808" s="138" t="s">
        <v>732</v>
      </c>
      <c r="C808" s="4" t="s">
        <v>19</v>
      </c>
      <c r="D808" s="78" t="s">
        <v>11</v>
      </c>
      <c r="E808" s="53">
        <v>2</v>
      </c>
      <c r="F808" s="11">
        <f>SUM(DistMeetingQuota[[#This Row],[Sep]:[Feb]])</f>
        <v>0</v>
      </c>
      <c r="G808" s="11">
        <f>DistMeetingQuota[[#This Row],[Quota]]-DistMeetingQuota[[#This Row],[Actual]]</f>
        <v>2</v>
      </c>
      <c r="H808" s="49">
        <f>DistMeetingQuota[[#This Row],[Actual]]/DistMeetingQuota[[#This Row],[Quota]]</f>
        <v>0</v>
      </c>
      <c r="I808" s="4"/>
      <c r="J808" s="2"/>
      <c r="K808" s="2"/>
      <c r="L808" s="2"/>
      <c r="M808" s="2"/>
      <c r="N808" s="2"/>
      <c r="O808" s="2"/>
      <c r="P808" s="139" t="s">
        <v>10</v>
      </c>
      <c r="Q808" s="2"/>
    </row>
    <row r="809" spans="1:17" s="109" customFormat="1" ht="30">
      <c r="A809" s="4">
        <v>2187154</v>
      </c>
      <c r="B809" s="138" t="s">
        <v>733</v>
      </c>
      <c r="C809" s="4" t="s">
        <v>19</v>
      </c>
      <c r="D809" s="78" t="s">
        <v>11</v>
      </c>
      <c r="E809" s="53">
        <v>2</v>
      </c>
      <c r="F809" s="11">
        <f>SUM(DistMeetingQuota[[#This Row],[Sep]:[Feb]])</f>
        <v>0</v>
      </c>
      <c r="G809" s="11">
        <f>DistMeetingQuota[[#This Row],[Quota]]-DistMeetingQuota[[#This Row],[Actual]]</f>
        <v>2</v>
      </c>
      <c r="H809" s="49">
        <f>DistMeetingQuota[[#This Row],[Actual]]/DistMeetingQuota[[#This Row],[Quota]]</f>
        <v>0</v>
      </c>
      <c r="I809" s="4"/>
      <c r="J809" s="2"/>
      <c r="K809" s="2"/>
      <c r="L809" s="2"/>
      <c r="M809" s="2"/>
      <c r="N809" s="2"/>
      <c r="O809" s="2"/>
      <c r="P809" s="139" t="s">
        <v>10</v>
      </c>
      <c r="Q809" s="2"/>
    </row>
    <row r="810" spans="1:17" s="109" customFormat="1">
      <c r="A810" s="4">
        <v>2100026</v>
      </c>
      <c r="B810" s="138" t="s">
        <v>734</v>
      </c>
      <c r="C810" s="4" t="s">
        <v>19</v>
      </c>
      <c r="D810" s="78" t="s">
        <v>11</v>
      </c>
      <c r="E810" s="53">
        <v>2</v>
      </c>
      <c r="F810" s="11">
        <f>SUM(DistMeetingQuota[[#This Row],[Sep]:[Feb]])</f>
        <v>2</v>
      </c>
      <c r="G810" s="11">
        <f>DistMeetingQuota[[#This Row],[Quota]]-DistMeetingQuota[[#This Row],[Actual]]</f>
        <v>0</v>
      </c>
      <c r="H810" s="49">
        <f>DistMeetingQuota[[#This Row],[Actual]]/DistMeetingQuota[[#This Row],[Quota]]</f>
        <v>1</v>
      </c>
      <c r="I810" s="4"/>
      <c r="J810" s="2">
        <v>2</v>
      </c>
      <c r="K810" s="2"/>
      <c r="L810" s="2"/>
      <c r="M810" s="2"/>
      <c r="N810" s="2"/>
      <c r="O810" s="2"/>
      <c r="P810" s="139" t="s">
        <v>10</v>
      </c>
      <c r="Q810" s="2"/>
    </row>
    <row r="811" spans="1:17" s="109" customFormat="1" ht="30">
      <c r="A811" s="4">
        <v>2422121</v>
      </c>
      <c r="B811" s="138" t="s">
        <v>735</v>
      </c>
      <c r="C811" s="4" t="s">
        <v>19</v>
      </c>
      <c r="D811" s="78" t="s">
        <v>5</v>
      </c>
      <c r="E811" s="53">
        <v>24</v>
      </c>
      <c r="F811" s="11">
        <f>SUM(DistMeetingQuota[[#This Row],[Sep]:[Feb]])</f>
        <v>18</v>
      </c>
      <c r="G811" s="11">
        <f>DistMeetingQuota[[#This Row],[Quota]]-DistMeetingQuota[[#This Row],[Actual]]</f>
        <v>6</v>
      </c>
      <c r="H811" s="49">
        <f>DistMeetingQuota[[#This Row],[Actual]]/DistMeetingQuota[[#This Row],[Quota]]</f>
        <v>0.75</v>
      </c>
      <c r="I811" s="4">
        <v>4</v>
      </c>
      <c r="J811" s="2">
        <v>4</v>
      </c>
      <c r="K811" s="2">
        <v>4</v>
      </c>
      <c r="L811" s="2">
        <v>2</v>
      </c>
      <c r="M811" s="2"/>
      <c r="N811" s="2">
        <v>4</v>
      </c>
      <c r="O811" s="2"/>
      <c r="P811" s="139" t="s">
        <v>736</v>
      </c>
      <c r="Q811" s="2"/>
    </row>
    <row r="812" spans="1:17" s="109" customFormat="1" ht="30">
      <c r="A812" s="4">
        <v>2096076</v>
      </c>
      <c r="B812" s="138" t="s">
        <v>737</v>
      </c>
      <c r="C812" s="4" t="s">
        <v>36</v>
      </c>
      <c r="D812" s="78" t="s">
        <v>11</v>
      </c>
      <c r="E812" s="53">
        <v>2</v>
      </c>
      <c r="F812" s="11">
        <f>SUM(DistMeetingQuota[[#This Row],[Sep]:[Feb]])</f>
        <v>0</v>
      </c>
      <c r="G812" s="11">
        <f>DistMeetingQuota[[#This Row],[Quota]]-DistMeetingQuota[[#This Row],[Actual]]</f>
        <v>2</v>
      </c>
      <c r="H812" s="49">
        <f>DistMeetingQuota[[#This Row],[Actual]]/DistMeetingQuota[[#This Row],[Quota]]</f>
        <v>0</v>
      </c>
      <c r="I812" s="4"/>
      <c r="J812" s="2"/>
      <c r="K812" s="2"/>
      <c r="L812" s="2"/>
      <c r="M812" s="2"/>
      <c r="N812" s="2"/>
      <c r="O812" s="2"/>
      <c r="P812" s="139" t="s">
        <v>10</v>
      </c>
      <c r="Q812" s="2"/>
    </row>
    <row r="813" spans="1:17" s="109" customFormat="1" ht="30">
      <c r="A813" s="4">
        <v>2195394</v>
      </c>
      <c r="B813" s="138" t="s">
        <v>738</v>
      </c>
      <c r="C813" s="4" t="s">
        <v>19</v>
      </c>
      <c r="D813" s="78" t="s">
        <v>11</v>
      </c>
      <c r="E813" s="53">
        <v>2</v>
      </c>
      <c r="F813" s="11">
        <f>SUM(DistMeetingQuota[[#This Row],[Sep]:[Feb]])</f>
        <v>0</v>
      </c>
      <c r="G813" s="11">
        <f>DistMeetingQuota[[#This Row],[Quota]]-DistMeetingQuota[[#This Row],[Actual]]</f>
        <v>2</v>
      </c>
      <c r="H813" s="49">
        <f>DistMeetingQuota[[#This Row],[Actual]]/DistMeetingQuota[[#This Row],[Quota]]</f>
        <v>0</v>
      </c>
      <c r="I813" s="4"/>
      <c r="J813" s="2"/>
      <c r="K813" s="2"/>
      <c r="L813" s="2"/>
      <c r="M813" s="2"/>
      <c r="N813" s="2"/>
      <c r="O813" s="2"/>
      <c r="P813" s="139" t="s">
        <v>10</v>
      </c>
      <c r="Q813" s="2"/>
    </row>
    <row r="814" spans="1:17" s="109" customFormat="1" ht="30">
      <c r="A814" s="4">
        <v>2240647</v>
      </c>
      <c r="B814" s="138" t="s">
        <v>739</v>
      </c>
      <c r="C814" s="4" t="s">
        <v>19</v>
      </c>
      <c r="D814" s="78" t="s">
        <v>5</v>
      </c>
      <c r="E814" s="53">
        <v>24</v>
      </c>
      <c r="F814" s="11">
        <f>SUM(DistMeetingQuota[[#This Row],[Sep]:[Feb]])</f>
        <v>23</v>
      </c>
      <c r="G814" s="11">
        <f>DistMeetingQuota[[#This Row],[Quota]]-DistMeetingQuota[[#This Row],[Actual]]</f>
        <v>1</v>
      </c>
      <c r="H814" s="49">
        <f>DistMeetingQuota[[#This Row],[Actual]]/DistMeetingQuota[[#This Row],[Quota]]</f>
        <v>0.95833333333333337</v>
      </c>
      <c r="I814" s="4">
        <v>4</v>
      </c>
      <c r="J814" s="2">
        <v>4</v>
      </c>
      <c r="K814" s="2">
        <v>4</v>
      </c>
      <c r="L814" s="2">
        <v>4</v>
      </c>
      <c r="M814" s="2">
        <v>4</v>
      </c>
      <c r="N814" s="2">
        <v>3</v>
      </c>
      <c r="O814" s="2"/>
      <c r="P814" s="139" t="s">
        <v>60</v>
      </c>
      <c r="Q814" s="2"/>
    </row>
    <row r="815" spans="1:17" s="109" customFormat="1" ht="30">
      <c r="A815" s="4">
        <v>2274671</v>
      </c>
      <c r="B815" s="138" t="s">
        <v>740</v>
      </c>
      <c r="C815" s="4" t="s">
        <v>19</v>
      </c>
      <c r="D815" s="78" t="s">
        <v>11</v>
      </c>
      <c r="E815" s="53">
        <v>2</v>
      </c>
      <c r="F815" s="11">
        <f>SUM(DistMeetingQuota[[#This Row],[Sep]:[Feb]])</f>
        <v>0</v>
      </c>
      <c r="G815" s="11">
        <f>DistMeetingQuota[[#This Row],[Quota]]-DistMeetingQuota[[#This Row],[Actual]]</f>
        <v>2</v>
      </c>
      <c r="H815" s="49">
        <f>DistMeetingQuota[[#This Row],[Actual]]/DistMeetingQuota[[#This Row],[Quota]]</f>
        <v>0</v>
      </c>
      <c r="I815" s="4"/>
      <c r="J815" s="2"/>
      <c r="K815" s="2"/>
      <c r="L815" s="2"/>
      <c r="M815" s="2"/>
      <c r="N815" s="2"/>
      <c r="O815" s="2"/>
      <c r="P815" s="139" t="s">
        <v>10</v>
      </c>
      <c r="Q815" s="2"/>
    </row>
    <row r="816" spans="1:17" s="109" customFormat="1">
      <c r="A816" s="4">
        <v>2224873</v>
      </c>
      <c r="B816" s="138" t="s">
        <v>741</v>
      </c>
      <c r="C816" s="4" t="s">
        <v>19</v>
      </c>
      <c r="D816" s="78" t="s">
        <v>11</v>
      </c>
      <c r="E816" s="53">
        <v>2</v>
      </c>
      <c r="F816" s="11">
        <f>SUM(DistMeetingQuota[[#This Row],[Sep]:[Feb]])</f>
        <v>0</v>
      </c>
      <c r="G816" s="11">
        <f>DistMeetingQuota[[#This Row],[Quota]]-DistMeetingQuota[[#This Row],[Actual]]</f>
        <v>2</v>
      </c>
      <c r="H816" s="49">
        <f>DistMeetingQuota[[#This Row],[Actual]]/DistMeetingQuota[[#This Row],[Quota]]</f>
        <v>0</v>
      </c>
      <c r="I816" s="4"/>
      <c r="J816" s="2"/>
      <c r="K816" s="2"/>
      <c r="L816" s="2"/>
      <c r="M816" s="2"/>
      <c r="N816" s="2"/>
      <c r="O816" s="2"/>
      <c r="P816" s="139" t="s">
        <v>10</v>
      </c>
      <c r="Q816" s="2"/>
    </row>
    <row r="817" spans="1:17" s="109" customFormat="1" ht="30">
      <c r="A817" s="4">
        <v>2410279</v>
      </c>
      <c r="B817" s="138" t="s">
        <v>742</v>
      </c>
      <c r="C817" s="4" t="s">
        <v>19</v>
      </c>
      <c r="D817" s="78" t="s">
        <v>11</v>
      </c>
      <c r="E817" s="53">
        <v>2</v>
      </c>
      <c r="F817" s="11">
        <f>SUM(DistMeetingQuota[[#This Row],[Sep]:[Feb]])</f>
        <v>0</v>
      </c>
      <c r="G817" s="11">
        <f>DistMeetingQuota[[#This Row],[Quota]]-DistMeetingQuota[[#This Row],[Actual]]</f>
        <v>2</v>
      </c>
      <c r="H817" s="49">
        <f>DistMeetingQuota[[#This Row],[Actual]]/DistMeetingQuota[[#This Row],[Quota]]</f>
        <v>0</v>
      </c>
      <c r="I817" s="4"/>
      <c r="J817" s="2"/>
      <c r="K817" s="2"/>
      <c r="L817" s="2"/>
      <c r="M817" s="2"/>
      <c r="N817" s="2"/>
      <c r="O817" s="2"/>
      <c r="P817" s="139" t="s">
        <v>10</v>
      </c>
      <c r="Q817" s="2"/>
    </row>
    <row r="818" spans="1:17" s="109" customFormat="1">
      <c r="A818" s="4">
        <v>2179467</v>
      </c>
      <c r="B818" s="138" t="s">
        <v>743</v>
      </c>
      <c r="C818" s="4" t="s">
        <v>21</v>
      </c>
      <c r="D818" s="78" t="s">
        <v>13</v>
      </c>
      <c r="E818" s="53">
        <v>2</v>
      </c>
      <c r="F818" s="11">
        <f>SUM(DistMeetingQuota[[#This Row],[Sep]:[Feb]])</f>
        <v>0</v>
      </c>
      <c r="G818" s="11">
        <f>DistMeetingQuota[[#This Row],[Quota]]-DistMeetingQuota[[#This Row],[Actual]]</f>
        <v>2</v>
      </c>
      <c r="H818" s="49">
        <f>DistMeetingQuota[[#This Row],[Actual]]/DistMeetingQuota[[#This Row],[Quota]]</f>
        <v>0</v>
      </c>
      <c r="I818" s="4"/>
      <c r="J818" s="2"/>
      <c r="K818" s="2"/>
      <c r="L818" s="2"/>
      <c r="M818" s="2"/>
      <c r="N818" s="2"/>
      <c r="O818" s="2"/>
      <c r="P818" s="139" t="s">
        <v>10</v>
      </c>
      <c r="Q818" s="2"/>
    </row>
    <row r="819" spans="1:17" s="109" customFormat="1">
      <c r="A819" s="4">
        <v>2179467</v>
      </c>
      <c r="B819" s="138" t="s">
        <v>743</v>
      </c>
      <c r="C819" s="4" t="s">
        <v>21</v>
      </c>
      <c r="D819" s="78" t="s">
        <v>11</v>
      </c>
      <c r="E819" s="53">
        <v>3</v>
      </c>
      <c r="F819" s="11">
        <f>SUM(DistMeetingQuota[[#This Row],[Sep]:[Feb]])</f>
        <v>0</v>
      </c>
      <c r="G819" s="11">
        <f>DistMeetingQuota[[#This Row],[Quota]]-DistMeetingQuota[[#This Row],[Actual]]</f>
        <v>3</v>
      </c>
      <c r="H819" s="49">
        <f>DistMeetingQuota[[#This Row],[Actual]]/DistMeetingQuota[[#This Row],[Quota]]</f>
        <v>0</v>
      </c>
      <c r="I819" s="4"/>
      <c r="J819" s="2"/>
      <c r="K819" s="2"/>
      <c r="L819" s="2"/>
      <c r="M819" s="2"/>
      <c r="N819" s="2"/>
      <c r="O819" s="2"/>
      <c r="P819" s="139" t="s">
        <v>10</v>
      </c>
      <c r="Q819" s="2"/>
    </row>
    <row r="820" spans="1:17" s="109" customFormat="1">
      <c r="A820" s="4">
        <v>2212727</v>
      </c>
      <c r="B820" s="138" t="s">
        <v>744</v>
      </c>
      <c r="C820" s="4" t="s">
        <v>19</v>
      </c>
      <c r="D820" s="78" t="s">
        <v>5</v>
      </c>
      <c r="E820" s="53">
        <v>24</v>
      </c>
      <c r="F820" s="11">
        <f>SUM(DistMeetingQuota[[#This Row],[Sep]:[Feb]])</f>
        <v>0</v>
      </c>
      <c r="G820" s="11">
        <f>DistMeetingQuota[[#This Row],[Quota]]-DistMeetingQuota[[#This Row],[Actual]]</f>
        <v>24</v>
      </c>
      <c r="H820" s="49">
        <f>DistMeetingQuota[[#This Row],[Actual]]/DistMeetingQuota[[#This Row],[Quota]]</f>
        <v>0</v>
      </c>
      <c r="I820" s="4"/>
      <c r="J820" s="2"/>
      <c r="K820" s="2"/>
      <c r="L820" s="2"/>
      <c r="M820" s="2"/>
      <c r="N820" s="2"/>
      <c r="O820" s="2"/>
      <c r="P820" s="139" t="s">
        <v>55</v>
      </c>
      <c r="Q820" s="2"/>
    </row>
    <row r="821" spans="1:17" s="109" customFormat="1" ht="30">
      <c r="A821" s="4">
        <v>2193910</v>
      </c>
      <c r="B821" s="138" t="s">
        <v>745</v>
      </c>
      <c r="C821" s="4" t="s">
        <v>19</v>
      </c>
      <c r="D821" s="78" t="s">
        <v>5</v>
      </c>
      <c r="E821" s="53">
        <v>24</v>
      </c>
      <c r="F821" s="11">
        <f>SUM(DistMeetingQuota[[#This Row],[Sep]:[Feb]])</f>
        <v>0</v>
      </c>
      <c r="G821" s="11">
        <f>DistMeetingQuota[[#This Row],[Quota]]-DistMeetingQuota[[#This Row],[Actual]]</f>
        <v>24</v>
      </c>
      <c r="H821" s="49">
        <f>DistMeetingQuota[[#This Row],[Actual]]/DistMeetingQuota[[#This Row],[Quota]]</f>
        <v>0</v>
      </c>
      <c r="I821" s="4"/>
      <c r="J821" s="2"/>
      <c r="K821" s="2"/>
      <c r="L821" s="2"/>
      <c r="M821" s="2"/>
      <c r="N821" s="2"/>
      <c r="O821" s="2"/>
      <c r="P821" s="139" t="s">
        <v>57</v>
      </c>
      <c r="Q821" s="2"/>
    </row>
    <row r="822" spans="1:17" s="109" customFormat="1" ht="30">
      <c r="A822" s="4">
        <v>2390101</v>
      </c>
      <c r="B822" s="138" t="s">
        <v>840</v>
      </c>
      <c r="C822" s="4" t="s">
        <v>33</v>
      </c>
      <c r="D822" s="78" t="s">
        <v>5</v>
      </c>
      <c r="E822" s="53">
        <v>24</v>
      </c>
      <c r="F822" s="11">
        <f>SUM(DistMeetingQuota[[#This Row],[Sep]:[Feb]])</f>
        <v>11</v>
      </c>
      <c r="G822" s="11">
        <f>DistMeetingQuota[[#This Row],[Quota]]-DistMeetingQuota[[#This Row],[Actual]]</f>
        <v>13</v>
      </c>
      <c r="H822" s="49">
        <f>DistMeetingQuota[[#This Row],[Actual]]/DistMeetingQuota[[#This Row],[Quota]]</f>
        <v>0.45833333333333331</v>
      </c>
      <c r="I822" s="4"/>
      <c r="J822" s="2"/>
      <c r="K822" s="2">
        <v>3</v>
      </c>
      <c r="L822" s="2">
        <v>4</v>
      </c>
      <c r="M822" s="2">
        <v>3</v>
      </c>
      <c r="N822" s="2">
        <v>1</v>
      </c>
      <c r="O822" s="2"/>
      <c r="P822" s="139" t="s">
        <v>473</v>
      </c>
      <c r="Q822" s="2"/>
    </row>
    <row r="823" spans="1:17" s="109" customFormat="1" ht="30">
      <c r="A823" s="4">
        <v>2193910</v>
      </c>
      <c r="B823" s="138" t="s">
        <v>745</v>
      </c>
      <c r="C823" s="4" t="s">
        <v>19</v>
      </c>
      <c r="D823" s="78" t="s">
        <v>11</v>
      </c>
      <c r="E823" s="53">
        <v>2</v>
      </c>
      <c r="F823" s="11">
        <f>SUM(DistMeetingQuota[[#This Row],[Sep]:[Feb]])</f>
        <v>0</v>
      </c>
      <c r="G823" s="11">
        <f>DistMeetingQuota[[#This Row],[Quota]]-DistMeetingQuota[[#This Row],[Actual]]</f>
        <v>2</v>
      </c>
      <c r="H823" s="49">
        <f>DistMeetingQuota[[#This Row],[Actual]]/DistMeetingQuota[[#This Row],[Quota]]</f>
        <v>0</v>
      </c>
      <c r="I823" s="4"/>
      <c r="J823" s="2"/>
      <c r="K823" s="2"/>
      <c r="L823" s="2"/>
      <c r="M823" s="2"/>
      <c r="N823" s="2"/>
      <c r="O823" s="2"/>
      <c r="P823" s="139" t="s">
        <v>57</v>
      </c>
      <c r="Q823" s="2"/>
    </row>
    <row r="824" spans="1:17" s="109" customFormat="1" ht="30">
      <c r="A824" s="4">
        <v>2535525</v>
      </c>
      <c r="B824" s="138" t="s">
        <v>746</v>
      </c>
      <c r="C824" s="4" t="s">
        <v>19</v>
      </c>
      <c r="D824" s="78" t="s">
        <v>11</v>
      </c>
      <c r="E824" s="53">
        <v>2</v>
      </c>
      <c r="F824" s="11">
        <f>SUM(DistMeetingQuota[[#This Row],[Sep]:[Feb]])</f>
        <v>0</v>
      </c>
      <c r="G824" s="11">
        <f>DistMeetingQuota[[#This Row],[Quota]]-DistMeetingQuota[[#This Row],[Actual]]</f>
        <v>2</v>
      </c>
      <c r="H824" s="49">
        <f>DistMeetingQuota[[#This Row],[Actual]]/DistMeetingQuota[[#This Row],[Quota]]</f>
        <v>0</v>
      </c>
      <c r="I824" s="4"/>
      <c r="J824" s="2"/>
      <c r="K824" s="2"/>
      <c r="L824" s="2"/>
      <c r="M824" s="2"/>
      <c r="N824" s="2"/>
      <c r="O824" s="2"/>
      <c r="P824" s="139" t="s">
        <v>62</v>
      </c>
      <c r="Q824" s="2"/>
    </row>
    <row r="825" spans="1:17" s="109" customFormat="1" ht="30">
      <c r="A825" s="4">
        <v>2466777</v>
      </c>
      <c r="B825" s="138" t="s">
        <v>747</v>
      </c>
      <c r="C825" s="4" t="s">
        <v>19</v>
      </c>
      <c r="D825" s="78" t="s">
        <v>11</v>
      </c>
      <c r="E825" s="53">
        <v>2</v>
      </c>
      <c r="F825" s="11">
        <f>SUM(DistMeetingQuota[[#This Row],[Sep]:[Feb]])</f>
        <v>0</v>
      </c>
      <c r="G825" s="11">
        <f>DistMeetingQuota[[#This Row],[Quota]]-DistMeetingQuota[[#This Row],[Actual]]</f>
        <v>2</v>
      </c>
      <c r="H825" s="49">
        <f>DistMeetingQuota[[#This Row],[Actual]]/DistMeetingQuota[[#This Row],[Quota]]</f>
        <v>0</v>
      </c>
      <c r="I825" s="4"/>
      <c r="J825" s="2"/>
      <c r="K825" s="2"/>
      <c r="L825" s="2"/>
      <c r="M825" s="2"/>
      <c r="N825" s="2"/>
      <c r="O825" s="2"/>
      <c r="P825" s="139" t="s">
        <v>10</v>
      </c>
      <c r="Q825" s="2"/>
    </row>
    <row r="826" spans="1:17" s="109" customFormat="1">
      <c r="A826" s="4">
        <v>2566579</v>
      </c>
      <c r="B826" s="138" t="s">
        <v>748</v>
      </c>
      <c r="C826" s="4" t="s">
        <v>19</v>
      </c>
      <c r="D826" s="78" t="s">
        <v>11</v>
      </c>
      <c r="E826" s="53">
        <v>2</v>
      </c>
      <c r="F826" s="11">
        <f>SUM(DistMeetingQuota[[#This Row],[Sep]:[Feb]])</f>
        <v>0</v>
      </c>
      <c r="G826" s="11">
        <f>DistMeetingQuota[[#This Row],[Quota]]-DistMeetingQuota[[#This Row],[Actual]]</f>
        <v>2</v>
      </c>
      <c r="H826" s="49">
        <f>DistMeetingQuota[[#This Row],[Actual]]/DistMeetingQuota[[#This Row],[Quota]]</f>
        <v>0</v>
      </c>
      <c r="I826" s="4"/>
      <c r="J826" s="2"/>
      <c r="K826" s="2"/>
      <c r="L826" s="2"/>
      <c r="M826" s="2"/>
      <c r="N826" s="2"/>
      <c r="O826" s="2"/>
      <c r="P826" s="139" t="s">
        <v>63</v>
      </c>
      <c r="Q826" s="2"/>
    </row>
    <row r="827" spans="1:17" s="109" customFormat="1">
      <c r="A827" s="4">
        <v>2435646</v>
      </c>
      <c r="B827" s="138" t="s">
        <v>749</v>
      </c>
      <c r="C827" s="4" t="s">
        <v>19</v>
      </c>
      <c r="D827" s="78" t="s">
        <v>5</v>
      </c>
      <c r="E827" s="53">
        <v>24</v>
      </c>
      <c r="F827" s="11">
        <f>SUM(DistMeetingQuota[[#This Row],[Sep]:[Feb]])</f>
        <v>20</v>
      </c>
      <c r="G827" s="11">
        <f>DistMeetingQuota[[#This Row],[Quota]]-DistMeetingQuota[[#This Row],[Actual]]</f>
        <v>4</v>
      </c>
      <c r="H827" s="49">
        <f>DistMeetingQuota[[#This Row],[Actual]]/DistMeetingQuota[[#This Row],[Quota]]</f>
        <v>0.83333333333333337</v>
      </c>
      <c r="I827" s="4"/>
      <c r="J827" s="2"/>
      <c r="K827" s="2"/>
      <c r="L827" s="2">
        <v>4</v>
      </c>
      <c r="M827" s="2">
        <v>8</v>
      </c>
      <c r="N827" s="2">
        <v>8</v>
      </c>
      <c r="O827" s="2"/>
      <c r="P827" s="139" t="s">
        <v>63</v>
      </c>
      <c r="Q827" s="2"/>
    </row>
    <row r="828" spans="1:17" s="109" customFormat="1">
      <c r="A828" s="4">
        <v>2435646</v>
      </c>
      <c r="B828" s="138" t="s">
        <v>749</v>
      </c>
      <c r="C828" s="4" t="s">
        <v>19</v>
      </c>
      <c r="D828" s="78" t="s">
        <v>11</v>
      </c>
      <c r="E828" s="53">
        <v>2</v>
      </c>
      <c r="F828" s="11">
        <f>SUM(DistMeetingQuota[[#This Row],[Sep]:[Feb]])</f>
        <v>2</v>
      </c>
      <c r="G828" s="11">
        <f>DistMeetingQuota[[#This Row],[Quota]]-DistMeetingQuota[[#This Row],[Actual]]</f>
        <v>0</v>
      </c>
      <c r="H828" s="49">
        <f>DistMeetingQuota[[#This Row],[Actual]]/DistMeetingQuota[[#This Row],[Quota]]</f>
        <v>1</v>
      </c>
      <c r="I828" s="4"/>
      <c r="J828" s="2"/>
      <c r="K828" s="2">
        <v>2</v>
      </c>
      <c r="L828" s="2"/>
      <c r="M828" s="2"/>
      <c r="N828" s="2"/>
      <c r="O828" s="2"/>
      <c r="P828" s="139" t="s">
        <v>63</v>
      </c>
      <c r="Q828" s="2"/>
    </row>
    <row r="829" spans="1:17" s="109" customFormat="1" ht="30">
      <c r="A829" s="159">
        <v>2215242</v>
      </c>
      <c r="B829" s="160" t="s">
        <v>750</v>
      </c>
      <c r="C829" s="159" t="s">
        <v>19</v>
      </c>
      <c r="D829" s="161" t="s">
        <v>11</v>
      </c>
      <c r="E829" s="162">
        <v>2</v>
      </c>
      <c r="F829" s="163">
        <f>SUM(DistMeetingQuota[[#This Row],[Sep]:[Feb]])</f>
        <v>0</v>
      </c>
      <c r="G829" s="163">
        <f>DistMeetingQuota[[#This Row],[Quota]]-DistMeetingQuota[[#This Row],[Actual]]</f>
        <v>2</v>
      </c>
      <c r="H829" s="164">
        <f>DistMeetingQuota[[#This Row],[Actual]]/DistMeetingQuota[[#This Row],[Quota]]</f>
        <v>0</v>
      </c>
      <c r="I829" s="159"/>
      <c r="J829" s="165"/>
      <c r="K829" s="165"/>
      <c r="L829" s="165"/>
      <c r="M829" s="165"/>
      <c r="N829" s="165"/>
      <c r="O829" s="165"/>
      <c r="P829" s="166" t="s">
        <v>10</v>
      </c>
      <c r="Q829" s="165"/>
    </row>
    <row r="830" spans="1:17" s="109" customFormat="1">
      <c r="A830" s="159">
        <v>2210445</v>
      </c>
      <c r="B830" s="160" t="s">
        <v>751</v>
      </c>
      <c r="C830" s="159" t="s">
        <v>19</v>
      </c>
      <c r="D830" s="161" t="s">
        <v>11</v>
      </c>
      <c r="E830" s="162">
        <v>2</v>
      </c>
      <c r="F830" s="163">
        <f>SUM(DistMeetingQuota[[#This Row],[Sep]:[Feb]])</f>
        <v>1</v>
      </c>
      <c r="G830" s="163">
        <f>DistMeetingQuota[[#This Row],[Quota]]-DistMeetingQuota[[#This Row],[Actual]]</f>
        <v>1</v>
      </c>
      <c r="H830" s="164">
        <f>DistMeetingQuota[[#This Row],[Actual]]/DistMeetingQuota[[#This Row],[Quota]]</f>
        <v>0.5</v>
      </c>
      <c r="I830" s="159"/>
      <c r="J830" s="165"/>
      <c r="K830" s="165"/>
      <c r="L830" s="165"/>
      <c r="M830" s="165"/>
      <c r="N830" s="165">
        <v>1</v>
      </c>
      <c r="O830" s="165"/>
      <c r="P830" s="166" t="s">
        <v>10</v>
      </c>
      <c r="Q830" s="165"/>
    </row>
    <row r="831" spans="1:17" s="109" customFormat="1">
      <c r="A831" s="159">
        <v>2277076</v>
      </c>
      <c r="B831" s="160" t="s">
        <v>752</v>
      </c>
      <c r="C831" s="159" t="s">
        <v>19</v>
      </c>
      <c r="D831" s="161" t="s">
        <v>11</v>
      </c>
      <c r="E831" s="162">
        <v>2</v>
      </c>
      <c r="F831" s="163">
        <f>SUM(DistMeetingQuota[[#This Row],[Sep]:[Feb]])</f>
        <v>2</v>
      </c>
      <c r="G831" s="163">
        <f>DistMeetingQuota[[#This Row],[Quota]]-DistMeetingQuota[[#This Row],[Actual]]</f>
        <v>0</v>
      </c>
      <c r="H831" s="164">
        <f>DistMeetingQuota[[#This Row],[Actual]]/DistMeetingQuota[[#This Row],[Quota]]</f>
        <v>1</v>
      </c>
      <c r="I831" s="159"/>
      <c r="J831" s="165"/>
      <c r="K831" s="165"/>
      <c r="L831" s="165">
        <v>2</v>
      </c>
      <c r="M831" s="165"/>
      <c r="N831" s="165"/>
      <c r="O831" s="165"/>
      <c r="P831" s="166" t="s">
        <v>10</v>
      </c>
      <c r="Q831" s="165"/>
    </row>
    <row r="832" spans="1:17" s="109" customFormat="1" ht="30">
      <c r="A832" s="4">
        <v>2235398</v>
      </c>
      <c r="B832" s="138" t="s">
        <v>753</v>
      </c>
      <c r="C832" s="4" t="s">
        <v>19</v>
      </c>
      <c r="D832" s="78" t="s">
        <v>5</v>
      </c>
      <c r="E832" s="53">
        <v>24</v>
      </c>
      <c r="F832" s="11">
        <f>SUM(DistMeetingQuota[[#This Row],[Sep]:[Feb]])</f>
        <v>2</v>
      </c>
      <c r="G832" s="11">
        <f>DistMeetingQuota[[#This Row],[Quota]]-DistMeetingQuota[[#This Row],[Actual]]</f>
        <v>22</v>
      </c>
      <c r="H832" s="49">
        <f>DistMeetingQuota[[#This Row],[Actual]]/DistMeetingQuota[[#This Row],[Quota]]</f>
        <v>8.3333333333333329E-2</v>
      </c>
      <c r="I832" s="4"/>
      <c r="J832" s="2"/>
      <c r="K832" s="2"/>
      <c r="L832" s="2">
        <v>2</v>
      </c>
      <c r="M832" s="2"/>
      <c r="N832" s="2"/>
      <c r="O832" s="2"/>
      <c r="P832" s="139" t="s">
        <v>470</v>
      </c>
      <c r="Q832" s="2"/>
    </row>
    <row r="833" spans="1:17" s="109" customFormat="1">
      <c r="A833" s="4">
        <v>2173805</v>
      </c>
      <c r="B833" s="138" t="s">
        <v>754</v>
      </c>
      <c r="C833" s="4" t="s">
        <v>33</v>
      </c>
      <c r="D833" s="78" t="s">
        <v>11</v>
      </c>
      <c r="E833" s="53">
        <v>2</v>
      </c>
      <c r="F833" s="11">
        <f>SUM(DistMeetingQuota[[#This Row],[Sep]:[Feb]])</f>
        <v>0</v>
      </c>
      <c r="G833" s="11">
        <f>DistMeetingQuota[[#This Row],[Quota]]-DistMeetingQuota[[#This Row],[Actual]]</f>
        <v>2</v>
      </c>
      <c r="H833" s="49">
        <f>DistMeetingQuota[[#This Row],[Actual]]/DistMeetingQuota[[#This Row],[Quota]]</f>
        <v>0</v>
      </c>
      <c r="I833" s="4"/>
      <c r="J833" s="2"/>
      <c r="K833" s="2"/>
      <c r="L833" s="2"/>
      <c r="M833" s="2"/>
      <c r="N833" s="2"/>
      <c r="O833" s="2"/>
      <c r="P833" s="139" t="s">
        <v>708</v>
      </c>
      <c r="Q833" s="2"/>
    </row>
    <row r="834" spans="1:17" s="109" customFormat="1">
      <c r="A834" s="4">
        <v>2173805</v>
      </c>
      <c r="B834" s="138" t="s">
        <v>754</v>
      </c>
      <c r="C834" s="4" t="s">
        <v>33</v>
      </c>
      <c r="D834" s="78" t="s">
        <v>5</v>
      </c>
      <c r="E834" s="53">
        <v>24</v>
      </c>
      <c r="F834" s="11">
        <f>SUM(DistMeetingQuota[[#This Row],[Sep]:[Feb]])</f>
        <v>0</v>
      </c>
      <c r="G834" s="11">
        <f>DistMeetingQuota[[#This Row],[Quota]]-DistMeetingQuota[[#This Row],[Actual]]</f>
        <v>24</v>
      </c>
      <c r="H834" s="49">
        <f>DistMeetingQuota[[#This Row],[Actual]]/DistMeetingQuota[[#This Row],[Quota]]</f>
        <v>0</v>
      </c>
      <c r="I834" s="4"/>
      <c r="J834" s="2"/>
      <c r="K834" s="2"/>
      <c r="L834" s="2"/>
      <c r="M834" s="2"/>
      <c r="N834" s="2"/>
      <c r="O834" s="2"/>
      <c r="P834" s="139" t="s">
        <v>708</v>
      </c>
      <c r="Q834" s="2"/>
    </row>
    <row r="835" spans="1:17" s="109" customFormat="1" ht="30">
      <c r="A835" s="4">
        <v>2419401</v>
      </c>
      <c r="B835" s="138" t="s">
        <v>706</v>
      </c>
      <c r="C835" s="4" t="s">
        <v>19</v>
      </c>
      <c r="D835" s="78" t="s">
        <v>5</v>
      </c>
      <c r="E835" s="53">
        <v>24</v>
      </c>
      <c r="F835" s="11">
        <f>SUM(DistMeetingQuota[[#This Row],[Sep]:[Feb]])</f>
        <v>0</v>
      </c>
      <c r="G835" s="11">
        <f>DistMeetingQuota[[#This Row],[Quota]]-DistMeetingQuota[[#This Row],[Actual]]</f>
        <v>24</v>
      </c>
      <c r="H835" s="49">
        <f>DistMeetingQuota[[#This Row],[Actual]]/DistMeetingQuota[[#This Row],[Quota]]</f>
        <v>0</v>
      </c>
      <c r="I835" s="4"/>
      <c r="J835" s="2"/>
      <c r="K835" s="2"/>
      <c r="L835" s="2"/>
      <c r="M835" s="2"/>
      <c r="N835" s="2"/>
      <c r="O835" s="2"/>
      <c r="P835" s="139" t="s">
        <v>708</v>
      </c>
      <c r="Q835" s="2"/>
    </row>
    <row r="836" spans="1:17" s="109" customFormat="1" ht="30">
      <c r="A836" s="4">
        <v>2501876</v>
      </c>
      <c r="B836" s="138" t="s">
        <v>755</v>
      </c>
      <c r="C836" s="4" t="s">
        <v>19</v>
      </c>
      <c r="D836" s="78" t="s">
        <v>11</v>
      </c>
      <c r="E836" s="53">
        <v>2</v>
      </c>
      <c r="F836" s="11">
        <f>SUM(DistMeetingQuota[[#This Row],[Sep]:[Feb]])</f>
        <v>0</v>
      </c>
      <c r="G836" s="11">
        <f>DistMeetingQuota[[#This Row],[Quota]]-DistMeetingQuota[[#This Row],[Actual]]</f>
        <v>2</v>
      </c>
      <c r="H836" s="49">
        <f>DistMeetingQuota[[#This Row],[Actual]]/DistMeetingQuota[[#This Row],[Quota]]</f>
        <v>0</v>
      </c>
      <c r="I836" s="4"/>
      <c r="J836" s="2"/>
      <c r="K836" s="2"/>
      <c r="L836" s="2"/>
      <c r="M836" s="2"/>
      <c r="N836" s="2"/>
      <c r="O836" s="2"/>
      <c r="P836" s="139" t="s">
        <v>708</v>
      </c>
      <c r="Q836" s="2"/>
    </row>
    <row r="837" spans="1:17" s="109" customFormat="1" ht="30">
      <c r="A837" s="4">
        <v>2501876</v>
      </c>
      <c r="B837" s="138" t="s">
        <v>755</v>
      </c>
      <c r="C837" s="4" t="s">
        <v>19</v>
      </c>
      <c r="D837" s="78" t="s">
        <v>5</v>
      </c>
      <c r="E837" s="53">
        <v>24</v>
      </c>
      <c r="F837" s="11">
        <f>SUM(DistMeetingQuota[[#This Row],[Sep]:[Feb]])</f>
        <v>0</v>
      </c>
      <c r="G837" s="11">
        <f>DistMeetingQuota[[#This Row],[Quota]]-DistMeetingQuota[[#This Row],[Actual]]</f>
        <v>24</v>
      </c>
      <c r="H837" s="49">
        <f>DistMeetingQuota[[#This Row],[Actual]]/DistMeetingQuota[[#This Row],[Quota]]</f>
        <v>0</v>
      </c>
      <c r="I837" s="4"/>
      <c r="J837" s="2"/>
      <c r="K837" s="2"/>
      <c r="L837" s="2"/>
      <c r="M837" s="2"/>
      <c r="N837" s="2"/>
      <c r="O837" s="2"/>
      <c r="P837" s="139" t="s">
        <v>708</v>
      </c>
      <c r="Q837" s="2"/>
    </row>
    <row r="838" spans="1:17" s="109" customFormat="1" ht="30">
      <c r="A838" s="4">
        <v>2412029</v>
      </c>
      <c r="B838" s="138" t="s">
        <v>756</v>
      </c>
      <c r="C838" s="4" t="s">
        <v>19</v>
      </c>
      <c r="D838" s="78" t="s">
        <v>11</v>
      </c>
      <c r="E838" s="53">
        <v>2</v>
      </c>
      <c r="F838" s="11">
        <f>SUM(DistMeetingQuota[[#This Row],[Sep]:[Feb]])</f>
        <v>2</v>
      </c>
      <c r="G838" s="11">
        <f>DistMeetingQuota[[#This Row],[Quota]]-DistMeetingQuota[[#This Row],[Actual]]</f>
        <v>0</v>
      </c>
      <c r="H838" s="49">
        <f>DistMeetingQuota[[#This Row],[Actual]]/DistMeetingQuota[[#This Row],[Quota]]</f>
        <v>1</v>
      </c>
      <c r="I838" s="4"/>
      <c r="J838" s="2"/>
      <c r="K838" s="2">
        <v>1</v>
      </c>
      <c r="L838" s="2">
        <v>1</v>
      </c>
      <c r="M838" s="2"/>
      <c r="N838" s="2"/>
      <c r="O838" s="2"/>
      <c r="P838" s="139" t="s">
        <v>10</v>
      </c>
      <c r="Q838" s="2"/>
    </row>
    <row r="839" spans="1:17" s="109" customFormat="1" ht="30">
      <c r="A839" s="4">
        <v>2256088</v>
      </c>
      <c r="B839" s="138" t="s">
        <v>757</v>
      </c>
      <c r="C839" s="4" t="s">
        <v>21</v>
      </c>
      <c r="D839" s="78" t="s">
        <v>11</v>
      </c>
      <c r="E839" s="53">
        <v>3</v>
      </c>
      <c r="F839" s="11">
        <f>SUM(DistMeetingQuota[[#This Row],[Sep]:[Feb]])</f>
        <v>0</v>
      </c>
      <c r="G839" s="11">
        <f>DistMeetingQuota[[#This Row],[Quota]]-DistMeetingQuota[[#This Row],[Actual]]</f>
        <v>3</v>
      </c>
      <c r="H839" s="49">
        <f>DistMeetingQuota[[#This Row],[Actual]]/DistMeetingQuota[[#This Row],[Quota]]</f>
        <v>0</v>
      </c>
      <c r="I839" s="4"/>
      <c r="J839" s="2"/>
      <c r="K839" s="2"/>
      <c r="L839" s="2"/>
      <c r="M839" s="2"/>
      <c r="N839" s="2"/>
      <c r="O839" s="2"/>
      <c r="P839" s="139" t="s">
        <v>10</v>
      </c>
      <c r="Q839" s="2"/>
    </row>
    <row r="840" spans="1:17" s="109" customFormat="1" ht="30">
      <c r="A840" s="4">
        <v>2256088</v>
      </c>
      <c r="B840" s="138" t="s">
        <v>757</v>
      </c>
      <c r="C840" s="4" t="s">
        <v>21</v>
      </c>
      <c r="D840" s="78" t="s">
        <v>13</v>
      </c>
      <c r="E840" s="53">
        <v>2</v>
      </c>
      <c r="F840" s="11">
        <f>SUM(DistMeetingQuota[[#This Row],[Sep]:[Feb]])</f>
        <v>2</v>
      </c>
      <c r="G840" s="11">
        <f>DistMeetingQuota[[#This Row],[Quota]]-DistMeetingQuota[[#This Row],[Actual]]</f>
        <v>0</v>
      </c>
      <c r="H840" s="49">
        <f>DistMeetingQuota[[#This Row],[Actual]]/DistMeetingQuota[[#This Row],[Quota]]</f>
        <v>1</v>
      </c>
      <c r="I840" s="4">
        <v>1</v>
      </c>
      <c r="J840" s="2">
        <v>1</v>
      </c>
      <c r="K840" s="2"/>
      <c r="L840" s="2"/>
      <c r="M840" s="2"/>
      <c r="N840" s="2"/>
      <c r="O840" s="2"/>
      <c r="P840" s="139" t="s">
        <v>10</v>
      </c>
      <c r="Q840" s="2"/>
    </row>
    <row r="841" spans="1:17" s="109" customFormat="1" ht="30">
      <c r="A841" s="4">
        <v>2436123</v>
      </c>
      <c r="B841" s="138" t="s">
        <v>758</v>
      </c>
      <c r="C841" s="4" t="s">
        <v>21</v>
      </c>
      <c r="D841" s="78" t="s">
        <v>13</v>
      </c>
      <c r="E841" s="53">
        <v>2</v>
      </c>
      <c r="F841" s="11">
        <f>SUM(DistMeetingQuota[[#This Row],[Sep]:[Feb]])</f>
        <v>2</v>
      </c>
      <c r="G841" s="11">
        <f>DistMeetingQuota[[#This Row],[Quota]]-DistMeetingQuota[[#This Row],[Actual]]</f>
        <v>0</v>
      </c>
      <c r="H841" s="49">
        <f>DistMeetingQuota[[#This Row],[Actual]]/DistMeetingQuota[[#This Row],[Quota]]</f>
        <v>1</v>
      </c>
      <c r="I841" s="4"/>
      <c r="J841" s="2"/>
      <c r="K841" s="2"/>
      <c r="L841" s="2">
        <v>2</v>
      </c>
      <c r="M841" s="2"/>
      <c r="N841" s="2"/>
      <c r="O841" s="2"/>
      <c r="P841" s="139" t="s">
        <v>736</v>
      </c>
      <c r="Q841" s="2"/>
    </row>
    <row r="842" spans="1:17" s="109" customFormat="1" ht="30">
      <c r="A842" s="4">
        <v>2436123</v>
      </c>
      <c r="B842" s="138" t="s">
        <v>758</v>
      </c>
      <c r="C842" s="4" t="s">
        <v>21</v>
      </c>
      <c r="D842" s="78" t="s">
        <v>11</v>
      </c>
      <c r="E842" s="53">
        <v>3</v>
      </c>
      <c r="F842" s="11">
        <f>SUM(DistMeetingQuota[[#This Row],[Sep]:[Feb]])</f>
        <v>1</v>
      </c>
      <c r="G842" s="11">
        <f>DistMeetingQuota[[#This Row],[Quota]]-DistMeetingQuota[[#This Row],[Actual]]</f>
        <v>2</v>
      </c>
      <c r="H842" s="49">
        <f>DistMeetingQuota[[#This Row],[Actual]]/DistMeetingQuota[[#This Row],[Quota]]</f>
        <v>0.33333333333333331</v>
      </c>
      <c r="I842" s="4"/>
      <c r="J842" s="2"/>
      <c r="K842" s="2"/>
      <c r="L842" s="2">
        <v>1</v>
      </c>
      <c r="M842" s="2"/>
      <c r="N842" s="2"/>
      <c r="O842" s="2"/>
      <c r="P842" s="139" t="s">
        <v>736</v>
      </c>
      <c r="Q842" s="2"/>
    </row>
    <row r="843" spans="1:17" s="109" customFormat="1" ht="30">
      <c r="A843" s="4">
        <v>2436123</v>
      </c>
      <c r="B843" s="138" t="s">
        <v>758</v>
      </c>
      <c r="C843" s="4" t="s">
        <v>19</v>
      </c>
      <c r="D843" s="78" t="s">
        <v>5</v>
      </c>
      <c r="E843" s="53">
        <v>24</v>
      </c>
      <c r="F843" s="11">
        <f>SUM(DistMeetingQuota[[#This Row],[Sep]:[Feb]])</f>
        <v>4</v>
      </c>
      <c r="G843" s="11">
        <f>DistMeetingQuota[[#This Row],[Quota]]-DistMeetingQuota[[#This Row],[Actual]]</f>
        <v>20</v>
      </c>
      <c r="H843" s="49">
        <f>DistMeetingQuota[[#This Row],[Actual]]/DistMeetingQuota[[#This Row],[Quota]]</f>
        <v>0.16666666666666666</v>
      </c>
      <c r="I843" s="4">
        <v>4</v>
      </c>
      <c r="J843" s="2"/>
      <c r="K843" s="2"/>
      <c r="L843" s="2"/>
      <c r="M843" s="2"/>
      <c r="N843" s="2"/>
      <c r="O843" s="2"/>
      <c r="P843" s="139" t="s">
        <v>736</v>
      </c>
      <c r="Q843" s="2"/>
    </row>
    <row r="844" spans="1:17" s="109" customFormat="1" ht="30">
      <c r="A844" s="4">
        <v>2179162</v>
      </c>
      <c r="B844" s="138" t="s">
        <v>759</v>
      </c>
      <c r="C844" s="4" t="s">
        <v>19</v>
      </c>
      <c r="D844" s="78" t="s">
        <v>11</v>
      </c>
      <c r="E844" s="53">
        <v>2</v>
      </c>
      <c r="F844" s="11">
        <f>SUM(DistMeetingQuota[[#This Row],[Sep]:[Feb]])</f>
        <v>0</v>
      </c>
      <c r="G844" s="11">
        <f>DistMeetingQuota[[#This Row],[Quota]]-DistMeetingQuota[[#This Row],[Actual]]</f>
        <v>2</v>
      </c>
      <c r="H844" s="49">
        <f>DistMeetingQuota[[#This Row],[Actual]]/DistMeetingQuota[[#This Row],[Quota]]</f>
        <v>0</v>
      </c>
      <c r="I844" s="4"/>
      <c r="J844" s="2"/>
      <c r="K844" s="2"/>
      <c r="L844" s="2"/>
      <c r="M844" s="2"/>
      <c r="N844" s="2"/>
      <c r="O844" s="2"/>
      <c r="P844" s="139" t="s">
        <v>56</v>
      </c>
      <c r="Q844" s="2"/>
    </row>
    <row r="845" spans="1:17" s="109" customFormat="1" ht="30">
      <c r="A845" s="4">
        <v>2322417</v>
      </c>
      <c r="B845" s="138" t="s">
        <v>760</v>
      </c>
      <c r="C845" s="4" t="s">
        <v>19</v>
      </c>
      <c r="D845" s="78" t="s">
        <v>5</v>
      </c>
      <c r="E845" s="53">
        <v>24</v>
      </c>
      <c r="F845" s="11">
        <f>SUM(DistMeetingQuota[[#This Row],[Sep]:[Feb]])</f>
        <v>0</v>
      </c>
      <c r="G845" s="11">
        <f>DistMeetingQuota[[#This Row],[Quota]]-DistMeetingQuota[[#This Row],[Actual]]</f>
        <v>24</v>
      </c>
      <c r="H845" s="49">
        <f>DistMeetingQuota[[#This Row],[Actual]]/DistMeetingQuota[[#This Row],[Quota]]</f>
        <v>0</v>
      </c>
      <c r="I845" s="4"/>
      <c r="J845" s="2"/>
      <c r="K845" s="2"/>
      <c r="L845" s="2"/>
      <c r="M845" s="2"/>
      <c r="N845" s="2"/>
      <c r="O845" s="2"/>
      <c r="P845" s="139" t="s">
        <v>613</v>
      </c>
      <c r="Q845" s="2"/>
    </row>
    <row r="846" spans="1:17" s="109" customFormat="1" ht="30">
      <c r="A846" s="4">
        <v>2322417</v>
      </c>
      <c r="B846" s="138" t="s">
        <v>760</v>
      </c>
      <c r="C846" s="4" t="s">
        <v>19</v>
      </c>
      <c r="D846" s="78" t="s">
        <v>11</v>
      </c>
      <c r="E846" s="53">
        <v>2</v>
      </c>
      <c r="F846" s="11">
        <f>SUM(DistMeetingQuota[[#This Row],[Sep]:[Feb]])</f>
        <v>0</v>
      </c>
      <c r="G846" s="11">
        <f>DistMeetingQuota[[#This Row],[Quota]]-DistMeetingQuota[[#This Row],[Actual]]</f>
        <v>2</v>
      </c>
      <c r="H846" s="49">
        <f>DistMeetingQuota[[#This Row],[Actual]]/DistMeetingQuota[[#This Row],[Quota]]</f>
        <v>0</v>
      </c>
      <c r="I846" s="4"/>
      <c r="J846" s="2"/>
      <c r="K846" s="2"/>
      <c r="L846" s="2"/>
      <c r="M846" s="2"/>
      <c r="N846" s="2"/>
      <c r="O846" s="2"/>
      <c r="P846" s="139" t="s">
        <v>613</v>
      </c>
      <c r="Q846" s="2"/>
    </row>
    <row r="847" spans="1:17" s="109" customFormat="1" ht="30">
      <c r="A847" s="4">
        <v>2125420</v>
      </c>
      <c r="B847" s="138" t="s">
        <v>761</v>
      </c>
      <c r="C847" s="4" t="s">
        <v>19</v>
      </c>
      <c r="D847" s="78" t="s">
        <v>11</v>
      </c>
      <c r="E847" s="53">
        <v>2</v>
      </c>
      <c r="F847" s="11">
        <f>SUM(DistMeetingQuota[[#This Row],[Sep]:[Feb]])</f>
        <v>0</v>
      </c>
      <c r="G847" s="11">
        <f>DistMeetingQuota[[#This Row],[Quota]]-DistMeetingQuota[[#This Row],[Actual]]</f>
        <v>2</v>
      </c>
      <c r="H847" s="49">
        <f>DistMeetingQuota[[#This Row],[Actual]]/DistMeetingQuota[[#This Row],[Quota]]</f>
        <v>0</v>
      </c>
      <c r="I847" s="4"/>
      <c r="J847" s="2"/>
      <c r="K847" s="2"/>
      <c r="L847" s="2"/>
      <c r="M847" s="2"/>
      <c r="N847" s="2"/>
      <c r="O847" s="2"/>
      <c r="P847" s="139" t="s">
        <v>10</v>
      </c>
      <c r="Q847" s="2"/>
    </row>
    <row r="848" spans="1:17" s="109" customFormat="1" ht="30">
      <c r="A848" s="4">
        <v>2200240</v>
      </c>
      <c r="B848" s="138" t="s">
        <v>765</v>
      </c>
      <c r="C848" s="4" t="s">
        <v>19</v>
      </c>
      <c r="D848" s="78" t="s">
        <v>5</v>
      </c>
      <c r="E848" s="53">
        <v>24</v>
      </c>
      <c r="F848" s="11">
        <f>SUM(DistMeetingQuota[[#This Row],[Sep]:[Feb]])</f>
        <v>0</v>
      </c>
      <c r="G848" s="11">
        <f>DistMeetingQuota[[#This Row],[Quota]]-DistMeetingQuota[[#This Row],[Actual]]</f>
        <v>24</v>
      </c>
      <c r="H848" s="49">
        <f>DistMeetingQuota[[#This Row],[Actual]]/DistMeetingQuota[[#This Row],[Quota]]</f>
        <v>0</v>
      </c>
      <c r="I848" s="4"/>
      <c r="J848" s="2"/>
      <c r="K848" s="2"/>
      <c r="L848" s="2"/>
      <c r="M848" s="2"/>
      <c r="N848" s="2"/>
      <c r="O848" s="2"/>
      <c r="P848" s="139" t="s">
        <v>6</v>
      </c>
      <c r="Q848" s="2"/>
    </row>
    <row r="849" spans="1:17" s="109" customFormat="1" ht="30">
      <c r="A849" s="4">
        <v>2597171</v>
      </c>
      <c r="B849" s="138" t="s">
        <v>766</v>
      </c>
      <c r="C849" s="4" t="s">
        <v>19</v>
      </c>
      <c r="D849" s="78" t="s">
        <v>11</v>
      </c>
      <c r="E849" s="53">
        <v>2</v>
      </c>
      <c r="F849" s="11">
        <f>SUM(DistMeetingQuota[[#This Row],[Sep]:[Feb]])</f>
        <v>2</v>
      </c>
      <c r="G849" s="11">
        <f>DistMeetingQuota[[#This Row],[Quota]]-DistMeetingQuota[[#This Row],[Actual]]</f>
        <v>0</v>
      </c>
      <c r="H849" s="49">
        <f>DistMeetingQuota[[#This Row],[Actual]]/DistMeetingQuota[[#This Row],[Quota]]</f>
        <v>1</v>
      </c>
      <c r="I849" s="4">
        <v>2</v>
      </c>
      <c r="J849" s="2"/>
      <c r="K849" s="2"/>
      <c r="L849" s="2"/>
      <c r="M849" s="2"/>
      <c r="N849" s="2"/>
      <c r="O849" s="2"/>
      <c r="P849" s="139" t="s">
        <v>10</v>
      </c>
      <c r="Q849" s="2"/>
    </row>
    <row r="850" spans="1:17" s="109" customFormat="1" ht="30">
      <c r="A850" s="4">
        <v>2597171</v>
      </c>
      <c r="B850" s="138" t="s">
        <v>766</v>
      </c>
      <c r="C850" s="4" t="s">
        <v>19</v>
      </c>
      <c r="D850" s="78" t="s">
        <v>5</v>
      </c>
      <c r="E850" s="53">
        <v>24</v>
      </c>
      <c r="F850" s="11">
        <f>SUM(DistMeetingQuota[[#This Row],[Sep]:[Feb]])</f>
        <v>15</v>
      </c>
      <c r="G850" s="11">
        <f>DistMeetingQuota[[#This Row],[Quota]]-DistMeetingQuota[[#This Row],[Actual]]</f>
        <v>9</v>
      </c>
      <c r="H850" s="49">
        <f>DistMeetingQuota[[#This Row],[Actual]]/DistMeetingQuota[[#This Row],[Quota]]</f>
        <v>0.625</v>
      </c>
      <c r="I850" s="4">
        <v>5</v>
      </c>
      <c r="J850" s="2">
        <v>5</v>
      </c>
      <c r="K850" s="2"/>
      <c r="L850" s="2">
        <v>5</v>
      </c>
      <c r="M850" s="2"/>
      <c r="N850" s="2"/>
      <c r="O850" s="2"/>
      <c r="P850" s="139" t="s">
        <v>10</v>
      </c>
      <c r="Q850" s="2"/>
    </row>
    <row r="851" spans="1:17" s="109" customFormat="1">
      <c r="A851" s="4">
        <v>2559076</v>
      </c>
      <c r="B851" s="138" t="s">
        <v>767</v>
      </c>
      <c r="C851" s="4" t="s">
        <v>19</v>
      </c>
      <c r="D851" s="78" t="s">
        <v>11</v>
      </c>
      <c r="E851" s="53">
        <v>2</v>
      </c>
      <c r="F851" s="11">
        <f>SUM(DistMeetingQuota[[#This Row],[Sep]:[Feb]])</f>
        <v>2</v>
      </c>
      <c r="G851" s="11">
        <f>DistMeetingQuota[[#This Row],[Quota]]-DistMeetingQuota[[#This Row],[Actual]]</f>
        <v>0</v>
      </c>
      <c r="H851" s="49">
        <f>DistMeetingQuota[[#This Row],[Actual]]/DistMeetingQuota[[#This Row],[Quota]]</f>
        <v>1</v>
      </c>
      <c r="I851" s="4">
        <v>1</v>
      </c>
      <c r="J851" s="2"/>
      <c r="K851" s="2"/>
      <c r="L851" s="2">
        <v>1</v>
      </c>
      <c r="M851" s="2"/>
      <c r="N851" s="2"/>
      <c r="O851" s="2"/>
      <c r="P851" s="139" t="s">
        <v>10</v>
      </c>
      <c r="Q851" s="2"/>
    </row>
    <row r="852" spans="1:17" s="109" customFormat="1">
      <c r="A852" s="4">
        <v>2559076</v>
      </c>
      <c r="B852" s="138" t="s">
        <v>767</v>
      </c>
      <c r="C852" s="4" t="s">
        <v>19</v>
      </c>
      <c r="D852" s="78" t="s">
        <v>5</v>
      </c>
      <c r="E852" s="53">
        <v>24</v>
      </c>
      <c r="F852" s="11">
        <f>SUM(DistMeetingQuota[[#This Row],[Sep]:[Feb]])</f>
        <v>20</v>
      </c>
      <c r="G852" s="11">
        <f>DistMeetingQuota[[#This Row],[Quota]]-DistMeetingQuota[[#This Row],[Actual]]</f>
        <v>4</v>
      </c>
      <c r="H852" s="49">
        <f>DistMeetingQuota[[#This Row],[Actual]]/DistMeetingQuota[[#This Row],[Quota]]</f>
        <v>0.83333333333333337</v>
      </c>
      <c r="I852" s="4"/>
      <c r="J852" s="2"/>
      <c r="K852" s="2">
        <v>15</v>
      </c>
      <c r="L852" s="2"/>
      <c r="M852" s="2"/>
      <c r="N852" s="2">
        <v>5</v>
      </c>
      <c r="O852" s="2"/>
      <c r="P852" s="139" t="s">
        <v>10</v>
      </c>
      <c r="Q852" s="2"/>
    </row>
    <row r="853" spans="1:17" s="109" customFormat="1" ht="30">
      <c r="A853" s="192">
        <v>2168747</v>
      </c>
      <c r="B853" s="193" t="s">
        <v>768</v>
      </c>
      <c r="C853" s="192" t="s">
        <v>19</v>
      </c>
      <c r="D853" s="194" t="s">
        <v>11</v>
      </c>
      <c r="E853" s="195">
        <v>2</v>
      </c>
      <c r="F853" s="196">
        <f>SUM(DistMeetingQuota[[#This Row],[Sep]:[Feb]])</f>
        <v>2</v>
      </c>
      <c r="G853" s="196">
        <f>DistMeetingQuota[[#This Row],[Quota]]-DistMeetingQuota[[#This Row],[Actual]]</f>
        <v>0</v>
      </c>
      <c r="H853" s="197">
        <f>DistMeetingQuota[[#This Row],[Actual]]/DistMeetingQuota[[#This Row],[Quota]]</f>
        <v>1</v>
      </c>
      <c r="I853" s="192"/>
      <c r="J853" s="198"/>
      <c r="K853" s="198"/>
      <c r="L853" s="198"/>
      <c r="M853" s="198">
        <v>2</v>
      </c>
      <c r="N853" s="198"/>
      <c r="O853" s="198"/>
      <c r="P853" s="139" t="s">
        <v>56</v>
      </c>
      <c r="Q853" s="198"/>
    </row>
    <row r="854" spans="1:17" s="109" customFormat="1" ht="30">
      <c r="A854" s="192">
        <v>2168747</v>
      </c>
      <c r="B854" s="193" t="s">
        <v>768</v>
      </c>
      <c r="C854" s="192" t="s">
        <v>19</v>
      </c>
      <c r="D854" s="194" t="s">
        <v>5</v>
      </c>
      <c r="E854" s="195">
        <v>24</v>
      </c>
      <c r="F854" s="196">
        <f>SUM(DistMeetingQuota[[#This Row],[Sep]:[Feb]])</f>
        <v>0</v>
      </c>
      <c r="G854" s="196">
        <f>DistMeetingQuota[[#This Row],[Quota]]-DistMeetingQuota[[#This Row],[Actual]]</f>
        <v>24</v>
      </c>
      <c r="H854" s="197">
        <f>DistMeetingQuota[[#This Row],[Actual]]/DistMeetingQuota[[#This Row],[Quota]]</f>
        <v>0</v>
      </c>
      <c r="I854" s="192"/>
      <c r="J854" s="198"/>
      <c r="K854" s="198"/>
      <c r="L854" s="198"/>
      <c r="M854" s="198"/>
      <c r="N854" s="198"/>
      <c r="O854" s="198"/>
      <c r="P854" s="139" t="s">
        <v>56</v>
      </c>
      <c r="Q854" s="198"/>
    </row>
    <row r="855" spans="1:17" s="109" customFormat="1" ht="30">
      <c r="A855" s="4">
        <v>2341123</v>
      </c>
      <c r="B855" s="138" t="s">
        <v>769</v>
      </c>
      <c r="C855" s="4" t="s">
        <v>19</v>
      </c>
      <c r="D855" s="78" t="s">
        <v>11</v>
      </c>
      <c r="E855" s="53">
        <v>2</v>
      </c>
      <c r="F855" s="11">
        <f>SUM(DistMeetingQuota[[#This Row],[Sep]:[Feb]])</f>
        <v>0</v>
      </c>
      <c r="G855" s="11">
        <f>DistMeetingQuota[[#This Row],[Quota]]-DistMeetingQuota[[#This Row],[Actual]]</f>
        <v>2</v>
      </c>
      <c r="H855" s="49">
        <f>DistMeetingQuota[[#This Row],[Actual]]/DistMeetingQuota[[#This Row],[Quota]]</f>
        <v>0</v>
      </c>
      <c r="I855" s="4"/>
      <c r="J855" s="2"/>
      <c r="K855" s="2"/>
      <c r="L855" s="2"/>
      <c r="M855" s="2"/>
      <c r="N855" s="2"/>
      <c r="O855" s="2"/>
      <c r="P855" s="139" t="s">
        <v>62</v>
      </c>
      <c r="Q855" s="2"/>
    </row>
    <row r="856" spans="1:17" s="109" customFormat="1" ht="30">
      <c r="A856" s="4">
        <v>2223339</v>
      </c>
      <c r="B856" s="138" t="s">
        <v>770</v>
      </c>
      <c r="C856" s="4" t="s">
        <v>19</v>
      </c>
      <c r="D856" s="78" t="s">
        <v>11</v>
      </c>
      <c r="E856" s="53">
        <v>2</v>
      </c>
      <c r="F856" s="11">
        <f>SUM(DistMeetingQuota[[#This Row],[Sep]:[Feb]])</f>
        <v>2</v>
      </c>
      <c r="G856" s="11">
        <f>DistMeetingQuota[[#This Row],[Quota]]-DistMeetingQuota[[#This Row],[Actual]]</f>
        <v>0</v>
      </c>
      <c r="H856" s="49">
        <f>DistMeetingQuota[[#This Row],[Actual]]/DistMeetingQuota[[#This Row],[Quota]]</f>
        <v>1</v>
      </c>
      <c r="I856" s="4"/>
      <c r="J856" s="2">
        <v>1</v>
      </c>
      <c r="K856" s="2"/>
      <c r="L856" s="2">
        <v>1</v>
      </c>
      <c r="M856" s="2"/>
      <c r="N856" s="2"/>
      <c r="O856" s="2"/>
      <c r="P856" s="139" t="s">
        <v>56</v>
      </c>
      <c r="Q856" s="2"/>
    </row>
    <row r="857" spans="1:17" s="109" customFormat="1" ht="30">
      <c r="A857" s="4">
        <v>2070875</v>
      </c>
      <c r="B857" s="138" t="s">
        <v>773</v>
      </c>
      <c r="C857" s="4" t="s">
        <v>25</v>
      </c>
      <c r="D857" s="78" t="s">
        <v>11</v>
      </c>
      <c r="E857" s="53">
        <v>2</v>
      </c>
      <c r="F857" s="11">
        <f>SUM(DistMeetingQuota[[#This Row],[Sep]:[Feb]])</f>
        <v>0</v>
      </c>
      <c r="G857" s="11">
        <f>DistMeetingQuota[[#This Row],[Quota]]-DistMeetingQuota[[#This Row],[Actual]]</f>
        <v>2</v>
      </c>
      <c r="H857" s="49">
        <f>DistMeetingQuota[[#This Row],[Actual]]/DistMeetingQuota[[#This Row],[Quota]]</f>
        <v>0</v>
      </c>
      <c r="I857" s="4"/>
      <c r="J857" s="2"/>
      <c r="K857" s="2"/>
      <c r="L857" s="2"/>
      <c r="M857" s="2"/>
      <c r="N857" s="2"/>
      <c r="O857" s="2"/>
      <c r="P857" s="139" t="s">
        <v>10</v>
      </c>
      <c r="Q857" s="2"/>
    </row>
    <row r="858" spans="1:17" s="109" customFormat="1" ht="30">
      <c r="A858" s="4">
        <v>2256548</v>
      </c>
      <c r="B858" s="138" t="s">
        <v>772</v>
      </c>
      <c r="C858" s="4" t="s">
        <v>19</v>
      </c>
      <c r="D858" s="78" t="s">
        <v>11</v>
      </c>
      <c r="E858" s="53">
        <v>2</v>
      </c>
      <c r="F858" s="11">
        <f>SUM(DistMeetingQuota[[#This Row],[Sep]:[Feb]])</f>
        <v>2</v>
      </c>
      <c r="G858" s="11">
        <f>DistMeetingQuota[[#This Row],[Quota]]-DistMeetingQuota[[#This Row],[Actual]]</f>
        <v>0</v>
      </c>
      <c r="H858" s="49">
        <f>DistMeetingQuota[[#This Row],[Actual]]/DistMeetingQuota[[#This Row],[Quota]]</f>
        <v>1</v>
      </c>
      <c r="I858" s="4">
        <v>2</v>
      </c>
      <c r="J858" s="2"/>
      <c r="K858" s="2"/>
      <c r="L858" s="2"/>
      <c r="M858" s="2"/>
      <c r="N858" s="2"/>
      <c r="O858" s="2"/>
      <c r="P858" s="139" t="s">
        <v>10</v>
      </c>
      <c r="Q858" s="2"/>
    </row>
    <row r="859" spans="1:17" s="109" customFormat="1" ht="30">
      <c r="A859" s="4">
        <v>2009530</v>
      </c>
      <c r="B859" s="138" t="s">
        <v>771</v>
      </c>
      <c r="C859" s="4" t="s">
        <v>19</v>
      </c>
      <c r="D859" s="78" t="s">
        <v>11</v>
      </c>
      <c r="E859" s="53">
        <v>2</v>
      </c>
      <c r="F859" s="11">
        <f>SUM(DistMeetingQuota[[#This Row],[Sep]:[Feb]])</f>
        <v>2</v>
      </c>
      <c r="G859" s="11">
        <f>DistMeetingQuota[[#This Row],[Quota]]-DistMeetingQuota[[#This Row],[Actual]]</f>
        <v>0</v>
      </c>
      <c r="H859" s="49">
        <f>DistMeetingQuota[[#This Row],[Actual]]/DistMeetingQuota[[#This Row],[Quota]]</f>
        <v>1</v>
      </c>
      <c r="I859" s="4">
        <v>2</v>
      </c>
      <c r="J859" s="2"/>
      <c r="K859" s="2"/>
      <c r="L859" s="2"/>
      <c r="M859" s="2"/>
      <c r="N859" s="2"/>
      <c r="O859" s="2"/>
      <c r="P859" s="139" t="s">
        <v>10</v>
      </c>
      <c r="Q859" s="2"/>
    </row>
    <row r="860" spans="1:17" s="109" customFormat="1">
      <c r="A860" s="4">
        <v>2342132</v>
      </c>
      <c r="B860" s="138" t="s">
        <v>775</v>
      </c>
      <c r="C860" s="4" t="s">
        <v>19</v>
      </c>
      <c r="D860" s="78" t="s">
        <v>11</v>
      </c>
      <c r="E860" s="53">
        <v>2</v>
      </c>
      <c r="F860" s="11">
        <f>SUM(DistMeetingQuota[[#This Row],[Sep]:[Feb]])</f>
        <v>2</v>
      </c>
      <c r="G860" s="11">
        <f>DistMeetingQuota[[#This Row],[Quota]]-DistMeetingQuota[[#This Row],[Actual]]</f>
        <v>0</v>
      </c>
      <c r="H860" s="49">
        <f>DistMeetingQuota[[#This Row],[Actual]]/DistMeetingQuota[[#This Row],[Quota]]</f>
        <v>1</v>
      </c>
      <c r="I860" s="4">
        <v>2</v>
      </c>
      <c r="J860" s="2"/>
      <c r="K860" s="2"/>
      <c r="L860" s="2"/>
      <c r="M860" s="2"/>
      <c r="N860" s="2"/>
      <c r="O860" s="2"/>
      <c r="P860" s="139" t="s">
        <v>10</v>
      </c>
      <c r="Q860" s="2"/>
    </row>
    <row r="861" spans="1:17" s="109" customFormat="1" ht="30">
      <c r="A861" s="4">
        <v>2248390</v>
      </c>
      <c r="B861" s="138" t="s">
        <v>777</v>
      </c>
      <c r="C861" s="4" t="s">
        <v>19</v>
      </c>
      <c r="D861" s="78" t="s">
        <v>11</v>
      </c>
      <c r="E861" s="53">
        <v>2</v>
      </c>
      <c r="F861" s="11">
        <f>SUM(DistMeetingQuota[[#This Row],[Sep]:[Feb]])</f>
        <v>2</v>
      </c>
      <c r="G861" s="11">
        <f>DistMeetingQuota[[#This Row],[Quota]]-DistMeetingQuota[[#This Row],[Actual]]</f>
        <v>0</v>
      </c>
      <c r="H861" s="49">
        <f>DistMeetingQuota[[#This Row],[Actual]]/DistMeetingQuota[[#This Row],[Quota]]</f>
        <v>1</v>
      </c>
      <c r="I861" s="4"/>
      <c r="J861" s="2">
        <v>2</v>
      </c>
      <c r="K861" s="2"/>
      <c r="L861" s="2"/>
      <c r="M861" s="2"/>
      <c r="N861" s="2"/>
      <c r="O861" s="2"/>
      <c r="P861" s="139" t="s">
        <v>10</v>
      </c>
      <c r="Q861" s="2"/>
    </row>
    <row r="862" spans="1:17" s="109" customFormat="1" ht="30">
      <c r="A862" s="4">
        <v>2518916</v>
      </c>
      <c r="B862" s="138" t="s">
        <v>776</v>
      </c>
      <c r="C862" s="4" t="s">
        <v>19</v>
      </c>
      <c r="D862" s="78" t="s">
        <v>11</v>
      </c>
      <c r="E862" s="53">
        <v>2</v>
      </c>
      <c r="F862" s="11">
        <f>SUM(DistMeetingQuota[[#This Row],[Sep]:[Feb]])</f>
        <v>2</v>
      </c>
      <c r="G862" s="11">
        <f>DistMeetingQuota[[#This Row],[Quota]]-DistMeetingQuota[[#This Row],[Actual]]</f>
        <v>0</v>
      </c>
      <c r="H862" s="49">
        <f>DistMeetingQuota[[#This Row],[Actual]]/DistMeetingQuota[[#This Row],[Quota]]</f>
        <v>1</v>
      </c>
      <c r="I862" s="4"/>
      <c r="J862" s="2">
        <v>2</v>
      </c>
      <c r="K862" s="2"/>
      <c r="L862" s="2"/>
      <c r="M862" s="2"/>
      <c r="N862" s="2"/>
      <c r="O862" s="2"/>
      <c r="P862" s="139" t="s">
        <v>10</v>
      </c>
      <c r="Q862" s="2"/>
    </row>
    <row r="863" spans="1:17" s="109" customFormat="1" ht="30">
      <c r="A863" s="4">
        <v>2110218</v>
      </c>
      <c r="B863" s="138" t="s">
        <v>779</v>
      </c>
      <c r="C863" s="4" t="s">
        <v>19</v>
      </c>
      <c r="D863" s="78" t="s">
        <v>11</v>
      </c>
      <c r="E863" s="53">
        <v>2</v>
      </c>
      <c r="F863" s="11">
        <f>SUM(DistMeetingQuota[[#This Row],[Sep]:[Feb]])</f>
        <v>0</v>
      </c>
      <c r="G863" s="11">
        <f>DistMeetingQuota[[#This Row],[Quota]]-DistMeetingQuota[[#This Row],[Actual]]</f>
        <v>2</v>
      </c>
      <c r="H863" s="49">
        <f>DistMeetingQuota[[#This Row],[Actual]]/DistMeetingQuota[[#This Row],[Quota]]</f>
        <v>0</v>
      </c>
      <c r="I863" s="4"/>
      <c r="J863" s="2"/>
      <c r="K863" s="2"/>
      <c r="L863" s="2"/>
      <c r="M863" s="2"/>
      <c r="N863" s="2"/>
      <c r="O863" s="2"/>
      <c r="P863" s="139" t="s">
        <v>14</v>
      </c>
      <c r="Q863" s="2"/>
    </row>
    <row r="864" spans="1:17" s="109" customFormat="1" ht="30">
      <c r="A864" s="4">
        <v>2386175</v>
      </c>
      <c r="B864" s="138" t="s">
        <v>780</v>
      </c>
      <c r="C864" s="4" t="s">
        <v>19</v>
      </c>
      <c r="D864" s="78" t="s">
        <v>11</v>
      </c>
      <c r="E864" s="53">
        <v>2</v>
      </c>
      <c r="F864" s="11">
        <f>SUM(DistMeetingQuota[[#This Row],[Sep]:[Feb]])</f>
        <v>0</v>
      </c>
      <c r="G864" s="11">
        <f>DistMeetingQuota[[#This Row],[Quota]]-DistMeetingQuota[[#This Row],[Actual]]</f>
        <v>2</v>
      </c>
      <c r="H864" s="49">
        <f>DistMeetingQuota[[#This Row],[Actual]]/DistMeetingQuota[[#This Row],[Quota]]</f>
        <v>0</v>
      </c>
      <c r="I864" s="4"/>
      <c r="J864" s="2"/>
      <c r="K864" s="2"/>
      <c r="L864" s="2"/>
      <c r="M864" s="2"/>
      <c r="N864" s="2"/>
      <c r="O864" s="2"/>
      <c r="P864" s="139" t="s">
        <v>10</v>
      </c>
      <c r="Q864" s="2"/>
    </row>
    <row r="865" spans="1:17" s="109" customFormat="1" ht="30">
      <c r="A865" s="4">
        <v>2188767</v>
      </c>
      <c r="B865" s="138" t="s">
        <v>781</v>
      </c>
      <c r="C865" s="4" t="s">
        <v>19</v>
      </c>
      <c r="D865" s="78" t="s">
        <v>11</v>
      </c>
      <c r="E865" s="53">
        <v>2</v>
      </c>
      <c r="F865" s="11">
        <f>SUM(DistMeetingQuota[[#This Row],[Sep]:[Feb]])</f>
        <v>0</v>
      </c>
      <c r="G865" s="11">
        <f>DistMeetingQuota[[#This Row],[Quota]]-DistMeetingQuota[[#This Row],[Actual]]</f>
        <v>2</v>
      </c>
      <c r="H865" s="49">
        <f>DistMeetingQuota[[#This Row],[Actual]]/DistMeetingQuota[[#This Row],[Quota]]</f>
        <v>0</v>
      </c>
      <c r="I865" s="4"/>
      <c r="J865" s="2"/>
      <c r="K865" s="2"/>
      <c r="L865" s="2"/>
      <c r="M865" s="2"/>
      <c r="N865" s="2"/>
      <c r="O865" s="2"/>
      <c r="P865" s="139" t="s">
        <v>14</v>
      </c>
      <c r="Q865" s="2"/>
    </row>
    <row r="866" spans="1:17" s="109" customFormat="1">
      <c r="A866" s="4">
        <v>2165580</v>
      </c>
      <c r="B866" s="138" t="s">
        <v>782</v>
      </c>
      <c r="C866" s="4" t="s">
        <v>19</v>
      </c>
      <c r="D866" s="78" t="s">
        <v>11</v>
      </c>
      <c r="E866" s="53">
        <v>2</v>
      </c>
      <c r="F866" s="11">
        <f>SUM(DistMeetingQuota[[#This Row],[Sep]:[Feb]])</f>
        <v>0</v>
      </c>
      <c r="G866" s="11">
        <f>DistMeetingQuota[[#This Row],[Quota]]-DistMeetingQuota[[#This Row],[Actual]]</f>
        <v>2</v>
      </c>
      <c r="H866" s="49">
        <f>DistMeetingQuota[[#This Row],[Actual]]/DistMeetingQuota[[#This Row],[Quota]]</f>
        <v>0</v>
      </c>
      <c r="I866" s="4"/>
      <c r="J866" s="2"/>
      <c r="K866" s="2"/>
      <c r="L866" s="2"/>
      <c r="M866" s="2"/>
      <c r="N866" s="2"/>
      <c r="O866" s="2"/>
      <c r="P866" s="139" t="s">
        <v>503</v>
      </c>
      <c r="Q866" s="2"/>
    </row>
    <row r="867" spans="1:17" s="109" customFormat="1" ht="30">
      <c r="A867" s="4">
        <v>2320539</v>
      </c>
      <c r="B867" s="138" t="s">
        <v>783</v>
      </c>
      <c r="C867" s="4" t="s">
        <v>19</v>
      </c>
      <c r="D867" s="78" t="s">
        <v>11</v>
      </c>
      <c r="E867" s="53">
        <v>2</v>
      </c>
      <c r="F867" s="11">
        <f>SUM(DistMeetingQuota[[#This Row],[Sep]:[Feb]])</f>
        <v>0</v>
      </c>
      <c r="G867" s="11">
        <f>DistMeetingQuota[[#This Row],[Quota]]-DistMeetingQuota[[#This Row],[Actual]]</f>
        <v>2</v>
      </c>
      <c r="H867" s="49">
        <f>DistMeetingQuota[[#This Row],[Actual]]/DistMeetingQuota[[#This Row],[Quota]]</f>
        <v>0</v>
      </c>
      <c r="I867" s="4"/>
      <c r="J867" s="2"/>
      <c r="K867" s="2"/>
      <c r="L867" s="2"/>
      <c r="M867" s="2"/>
      <c r="N867" s="2"/>
      <c r="O867" s="2"/>
      <c r="P867" s="139" t="s">
        <v>14</v>
      </c>
      <c r="Q867" s="2"/>
    </row>
    <row r="868" spans="1:17" s="109" customFormat="1" ht="30">
      <c r="A868" s="4">
        <v>2450573</v>
      </c>
      <c r="B868" s="138" t="s">
        <v>784</v>
      </c>
      <c r="C868" s="4" t="s">
        <v>19</v>
      </c>
      <c r="D868" s="78" t="s">
        <v>11</v>
      </c>
      <c r="E868" s="53">
        <v>2</v>
      </c>
      <c r="F868" s="11">
        <f>SUM(DistMeetingQuota[[#This Row],[Sep]:[Feb]])</f>
        <v>0</v>
      </c>
      <c r="G868" s="11">
        <f>DistMeetingQuota[[#This Row],[Quota]]-DistMeetingQuota[[#This Row],[Actual]]</f>
        <v>2</v>
      </c>
      <c r="H868" s="49">
        <f>DistMeetingQuota[[#This Row],[Actual]]/DistMeetingQuota[[#This Row],[Quota]]</f>
        <v>0</v>
      </c>
      <c r="I868" s="4"/>
      <c r="J868" s="2"/>
      <c r="K868" s="2"/>
      <c r="L868" s="2"/>
      <c r="M868" s="2"/>
      <c r="N868" s="2"/>
      <c r="O868" s="2"/>
      <c r="P868" s="139" t="s">
        <v>14</v>
      </c>
      <c r="Q868" s="2"/>
    </row>
    <row r="869" spans="1:17" s="109" customFormat="1">
      <c r="A869" s="4">
        <v>2208136</v>
      </c>
      <c r="B869" s="138" t="s">
        <v>785</v>
      </c>
      <c r="C869" s="4" t="s">
        <v>19</v>
      </c>
      <c r="D869" s="78" t="s">
        <v>5</v>
      </c>
      <c r="E869" s="53">
        <v>24</v>
      </c>
      <c r="F869" s="11">
        <f>SUM(DistMeetingQuota[[#This Row],[Sep]:[Feb]])</f>
        <v>0</v>
      </c>
      <c r="G869" s="11">
        <f>DistMeetingQuota[[#This Row],[Quota]]-DistMeetingQuota[[#This Row],[Actual]]</f>
        <v>24</v>
      </c>
      <c r="H869" s="49">
        <f>DistMeetingQuota[[#This Row],[Actual]]/DistMeetingQuota[[#This Row],[Quota]]</f>
        <v>0</v>
      </c>
      <c r="I869" s="4"/>
      <c r="J869" s="2"/>
      <c r="K869" s="2"/>
      <c r="L869" s="2"/>
      <c r="M869" s="2"/>
      <c r="N869" s="2"/>
      <c r="O869" s="2"/>
      <c r="P869" s="139" t="s">
        <v>14</v>
      </c>
      <c r="Q869" s="2"/>
    </row>
    <row r="870" spans="1:17" s="109" customFormat="1">
      <c r="A870" s="4">
        <v>2208136</v>
      </c>
      <c r="B870" s="138" t="s">
        <v>785</v>
      </c>
      <c r="C870" s="4" t="s">
        <v>19</v>
      </c>
      <c r="D870" s="78" t="s">
        <v>11</v>
      </c>
      <c r="E870" s="53">
        <v>2</v>
      </c>
      <c r="F870" s="11">
        <f>SUM(DistMeetingQuota[[#This Row],[Sep]:[Feb]])</f>
        <v>0</v>
      </c>
      <c r="G870" s="11">
        <f>DistMeetingQuota[[#This Row],[Quota]]-DistMeetingQuota[[#This Row],[Actual]]</f>
        <v>2</v>
      </c>
      <c r="H870" s="49">
        <f>DistMeetingQuota[[#This Row],[Actual]]/DistMeetingQuota[[#This Row],[Quota]]</f>
        <v>0</v>
      </c>
      <c r="I870" s="4"/>
      <c r="J870" s="2"/>
      <c r="K870" s="2"/>
      <c r="L870" s="2"/>
      <c r="M870" s="2"/>
      <c r="N870" s="2"/>
      <c r="O870" s="2"/>
      <c r="P870" s="139" t="s">
        <v>14</v>
      </c>
      <c r="Q870" s="2"/>
    </row>
    <row r="871" spans="1:17" s="109" customFormat="1" ht="30">
      <c r="A871" s="4">
        <v>2074796</v>
      </c>
      <c r="B871" s="138" t="s">
        <v>787</v>
      </c>
      <c r="C871" s="4" t="s">
        <v>19</v>
      </c>
      <c r="D871" s="78" t="s">
        <v>5</v>
      </c>
      <c r="E871" s="53">
        <v>24</v>
      </c>
      <c r="F871" s="11">
        <f>SUM(DistMeetingQuota[[#This Row],[Sep]:[Feb]])</f>
        <v>0</v>
      </c>
      <c r="G871" s="11">
        <f>DistMeetingQuota[[#This Row],[Quota]]-DistMeetingQuota[[#This Row],[Actual]]</f>
        <v>24</v>
      </c>
      <c r="H871" s="49">
        <f>DistMeetingQuota[[#This Row],[Actual]]/DistMeetingQuota[[#This Row],[Quota]]</f>
        <v>0</v>
      </c>
      <c r="I871" s="4"/>
      <c r="J871" s="2"/>
      <c r="K871" s="2"/>
      <c r="L871" s="2"/>
      <c r="M871" s="2"/>
      <c r="N871" s="2"/>
      <c r="O871" s="2"/>
      <c r="P871" s="139" t="s">
        <v>788</v>
      </c>
      <c r="Q871" s="2"/>
    </row>
    <row r="872" spans="1:17" s="109" customFormat="1" ht="30">
      <c r="A872" s="4">
        <v>2300266</v>
      </c>
      <c r="B872" s="138" t="s">
        <v>790</v>
      </c>
      <c r="C872" s="4" t="s">
        <v>19</v>
      </c>
      <c r="D872" s="78" t="s">
        <v>11</v>
      </c>
      <c r="E872" s="53">
        <v>2</v>
      </c>
      <c r="F872" s="11">
        <f>SUM(DistMeetingQuota[[#This Row],[Sep]:[Feb]])</f>
        <v>1</v>
      </c>
      <c r="G872" s="11">
        <f>DistMeetingQuota[[#This Row],[Quota]]-DistMeetingQuota[[#This Row],[Actual]]</f>
        <v>1</v>
      </c>
      <c r="H872" s="49">
        <f>DistMeetingQuota[[#This Row],[Actual]]/DistMeetingQuota[[#This Row],[Quota]]</f>
        <v>0.5</v>
      </c>
      <c r="I872" s="4"/>
      <c r="J872" s="2"/>
      <c r="K872" s="2"/>
      <c r="L872" s="2">
        <v>1</v>
      </c>
      <c r="M872" s="2"/>
      <c r="N872" s="2"/>
      <c r="O872" s="2"/>
      <c r="P872" s="139" t="s">
        <v>475</v>
      </c>
      <c r="Q872" s="2"/>
    </row>
    <row r="873" spans="1:17" s="109" customFormat="1" ht="30">
      <c r="A873" s="4">
        <v>2300266</v>
      </c>
      <c r="B873" s="138" t="s">
        <v>790</v>
      </c>
      <c r="C873" s="4" t="s">
        <v>19</v>
      </c>
      <c r="D873" s="78" t="s">
        <v>5</v>
      </c>
      <c r="E873" s="53">
        <v>24</v>
      </c>
      <c r="F873" s="11">
        <f>SUM(DistMeetingQuota[[#This Row],[Sep]:[Feb]])</f>
        <v>1</v>
      </c>
      <c r="G873" s="11">
        <f>DistMeetingQuota[[#This Row],[Quota]]-DistMeetingQuota[[#This Row],[Actual]]</f>
        <v>23</v>
      </c>
      <c r="H873" s="49">
        <f>DistMeetingQuota[[#This Row],[Actual]]/DistMeetingQuota[[#This Row],[Quota]]</f>
        <v>4.1666666666666664E-2</v>
      </c>
      <c r="I873" s="4">
        <v>1</v>
      </c>
      <c r="J873" s="2"/>
      <c r="K873" s="2"/>
      <c r="L873" s="2"/>
      <c r="M873" s="2"/>
      <c r="N873" s="2"/>
      <c r="O873" s="2"/>
      <c r="P873" s="139" t="s">
        <v>475</v>
      </c>
      <c r="Q873" s="2"/>
    </row>
    <row r="874" spans="1:17" s="109" customFormat="1" ht="30">
      <c r="A874" s="202">
        <v>2122233</v>
      </c>
      <c r="B874" s="203" t="s">
        <v>791</v>
      </c>
      <c r="C874" s="202" t="s">
        <v>19</v>
      </c>
      <c r="D874" s="204" t="s">
        <v>5</v>
      </c>
      <c r="E874" s="205">
        <v>24</v>
      </c>
      <c r="F874" s="206">
        <f>SUM(DistMeetingQuota[[#This Row],[Sep]:[Feb]])</f>
        <v>12</v>
      </c>
      <c r="G874" s="206">
        <f>DistMeetingQuota[[#This Row],[Quota]]-DistMeetingQuota[[#This Row],[Actual]]</f>
        <v>12</v>
      </c>
      <c r="H874" s="207">
        <f>DistMeetingQuota[[#This Row],[Actual]]/DistMeetingQuota[[#This Row],[Quota]]</f>
        <v>0.5</v>
      </c>
      <c r="I874" s="202">
        <v>4</v>
      </c>
      <c r="J874" s="208">
        <v>4</v>
      </c>
      <c r="K874" s="208"/>
      <c r="L874" s="208">
        <v>4</v>
      </c>
      <c r="M874" s="208"/>
      <c r="N874" s="208"/>
      <c r="O874" s="208"/>
      <c r="P874" s="209" t="s">
        <v>736</v>
      </c>
      <c r="Q874" s="208"/>
    </row>
    <row r="875" spans="1:17" s="109" customFormat="1" ht="30">
      <c r="A875" s="202">
        <v>2122233</v>
      </c>
      <c r="B875" s="203" t="s">
        <v>791</v>
      </c>
      <c r="C875" s="202" t="s">
        <v>19</v>
      </c>
      <c r="D875" s="204" t="s">
        <v>11</v>
      </c>
      <c r="E875" s="205">
        <v>2</v>
      </c>
      <c r="F875" s="206">
        <f>SUM(DistMeetingQuota[[#This Row],[Sep]:[Feb]])</f>
        <v>0</v>
      </c>
      <c r="G875" s="206">
        <f>DistMeetingQuota[[#This Row],[Quota]]-DistMeetingQuota[[#This Row],[Actual]]</f>
        <v>2</v>
      </c>
      <c r="H875" s="207">
        <f>DistMeetingQuota[[#This Row],[Actual]]/DistMeetingQuota[[#This Row],[Quota]]</f>
        <v>0</v>
      </c>
      <c r="I875" s="202"/>
      <c r="J875" s="208"/>
      <c r="K875" s="208"/>
      <c r="L875" s="208"/>
      <c r="M875" s="208"/>
      <c r="N875" s="208"/>
      <c r="O875" s="208"/>
      <c r="P875" s="209" t="s">
        <v>736</v>
      </c>
      <c r="Q875" s="208"/>
    </row>
    <row r="876" spans="1:17" s="109" customFormat="1">
      <c r="A876" s="4">
        <v>2245577</v>
      </c>
      <c r="B876" s="138" t="s">
        <v>794</v>
      </c>
      <c r="C876" s="4" t="s">
        <v>19</v>
      </c>
      <c r="D876" s="78" t="s">
        <v>11</v>
      </c>
      <c r="E876" s="53">
        <v>2</v>
      </c>
      <c r="F876" s="11">
        <f>SUM(DistMeetingQuota[[#This Row],[Sep]:[Feb]])</f>
        <v>0</v>
      </c>
      <c r="G876" s="11">
        <f>DistMeetingQuota[[#This Row],[Quota]]-DistMeetingQuota[[#This Row],[Actual]]</f>
        <v>2</v>
      </c>
      <c r="H876" s="49">
        <f>DistMeetingQuota[[#This Row],[Actual]]/DistMeetingQuota[[#This Row],[Quota]]</f>
        <v>0</v>
      </c>
      <c r="I876" s="4"/>
      <c r="J876" s="2"/>
      <c r="K876" s="2"/>
      <c r="L876" s="2"/>
      <c r="M876" s="2"/>
      <c r="N876" s="2"/>
      <c r="O876" s="2"/>
      <c r="P876" s="120"/>
      <c r="Q876" s="2"/>
    </row>
    <row r="877" spans="1:17" s="109" customFormat="1" ht="30">
      <c r="A877" s="4">
        <v>2445663</v>
      </c>
      <c r="B877" s="138" t="s">
        <v>792</v>
      </c>
      <c r="C877" s="4" t="s">
        <v>19</v>
      </c>
      <c r="D877" s="78" t="s">
        <v>11</v>
      </c>
      <c r="E877" s="53">
        <v>2</v>
      </c>
      <c r="F877" s="11">
        <f>SUM(DistMeetingQuota[[#This Row],[Sep]:[Feb]])</f>
        <v>0</v>
      </c>
      <c r="G877" s="11">
        <f>DistMeetingQuota[[#This Row],[Quota]]-DistMeetingQuota[[#This Row],[Actual]]</f>
        <v>2</v>
      </c>
      <c r="H877" s="49">
        <f>DistMeetingQuota[[#This Row],[Actual]]/DistMeetingQuota[[#This Row],[Quota]]</f>
        <v>0</v>
      </c>
      <c r="I877" s="4"/>
      <c r="J877" s="2"/>
      <c r="K877" s="2"/>
      <c r="L877" s="2"/>
      <c r="M877" s="2"/>
      <c r="N877" s="2"/>
      <c r="O877" s="2"/>
      <c r="P877" s="139" t="s">
        <v>793</v>
      </c>
      <c r="Q877" s="2"/>
    </row>
    <row r="878" spans="1:17" s="109" customFormat="1">
      <c r="A878" s="4">
        <v>2220526</v>
      </c>
      <c r="B878" s="138" t="s">
        <v>795</v>
      </c>
      <c r="C878" s="4" t="s">
        <v>19</v>
      </c>
      <c r="D878" s="78" t="s">
        <v>11</v>
      </c>
      <c r="E878" s="53">
        <v>2</v>
      </c>
      <c r="F878" s="11">
        <f>SUM(DistMeetingQuota[[#This Row],[Sep]:[Feb]])</f>
        <v>0</v>
      </c>
      <c r="G878" s="11">
        <f>DistMeetingQuota[[#This Row],[Quota]]-DistMeetingQuota[[#This Row],[Actual]]</f>
        <v>2</v>
      </c>
      <c r="H878" s="49">
        <f>DistMeetingQuota[[#This Row],[Actual]]/DistMeetingQuota[[#This Row],[Quota]]</f>
        <v>0</v>
      </c>
      <c r="I878" s="4"/>
      <c r="J878" s="2"/>
      <c r="K878" s="2"/>
      <c r="L878" s="2"/>
      <c r="M878" s="2"/>
      <c r="N878" s="2"/>
      <c r="O878" s="2"/>
      <c r="P878" s="139" t="s">
        <v>10</v>
      </c>
      <c r="Q878" s="2"/>
    </row>
    <row r="879" spans="1:17" s="109" customFormat="1" ht="30">
      <c r="A879" s="4">
        <v>2236009</v>
      </c>
      <c r="B879" s="138" t="s">
        <v>797</v>
      </c>
      <c r="C879" s="4" t="s">
        <v>19</v>
      </c>
      <c r="D879" s="78" t="s">
        <v>11</v>
      </c>
      <c r="E879" s="53">
        <v>2</v>
      </c>
      <c r="F879" s="11">
        <f>SUM(DistMeetingQuota[[#This Row],[Sep]:[Feb]])</f>
        <v>1</v>
      </c>
      <c r="G879" s="11">
        <f>DistMeetingQuota[[#This Row],[Quota]]-DistMeetingQuota[[#This Row],[Actual]]</f>
        <v>1</v>
      </c>
      <c r="H879" s="49">
        <f>DistMeetingQuota[[#This Row],[Actual]]/DistMeetingQuota[[#This Row],[Quota]]</f>
        <v>0.5</v>
      </c>
      <c r="I879" s="4"/>
      <c r="J879" s="2">
        <v>1</v>
      </c>
      <c r="K879" s="2"/>
      <c r="L879" s="2"/>
      <c r="M879" s="2"/>
      <c r="N879" s="2"/>
      <c r="O879" s="2"/>
      <c r="P879" s="139" t="s">
        <v>532</v>
      </c>
      <c r="Q879" s="2"/>
    </row>
    <row r="880" spans="1:17" s="109" customFormat="1" ht="30">
      <c r="A880" s="4">
        <v>2411166</v>
      </c>
      <c r="B880" s="138" t="s">
        <v>798</v>
      </c>
      <c r="C880" s="4" t="s">
        <v>19</v>
      </c>
      <c r="D880" s="78" t="s">
        <v>11</v>
      </c>
      <c r="E880" s="53">
        <v>2</v>
      </c>
      <c r="F880" s="11">
        <f>SUM(DistMeetingQuota[[#This Row],[Sep]:[Feb]])</f>
        <v>1</v>
      </c>
      <c r="G880" s="11">
        <f>DistMeetingQuota[[#This Row],[Quota]]-DistMeetingQuota[[#This Row],[Actual]]</f>
        <v>1</v>
      </c>
      <c r="H880" s="49">
        <f>DistMeetingQuota[[#This Row],[Actual]]/DistMeetingQuota[[#This Row],[Quota]]</f>
        <v>0.5</v>
      </c>
      <c r="I880" s="4"/>
      <c r="J880" s="2">
        <v>1</v>
      </c>
      <c r="K880" s="2"/>
      <c r="L880" s="2"/>
      <c r="M880" s="2"/>
      <c r="N880" s="2"/>
      <c r="O880" s="2"/>
      <c r="P880" s="139" t="s">
        <v>708</v>
      </c>
      <c r="Q880" s="2"/>
    </row>
    <row r="881" spans="1:17" s="109" customFormat="1" ht="30">
      <c r="A881" s="4">
        <v>2129797</v>
      </c>
      <c r="B881" s="138" t="s">
        <v>799</v>
      </c>
      <c r="C881" s="4" t="s">
        <v>19</v>
      </c>
      <c r="D881" s="78" t="s">
        <v>5</v>
      </c>
      <c r="E881" s="53">
        <v>24</v>
      </c>
      <c r="F881" s="11">
        <f>SUM(DistMeetingQuota[[#This Row],[Sep]:[Feb]])</f>
        <v>2</v>
      </c>
      <c r="G881" s="11">
        <f>DistMeetingQuota[[#This Row],[Quota]]-DistMeetingQuota[[#This Row],[Actual]]</f>
        <v>22</v>
      </c>
      <c r="H881" s="49">
        <f>DistMeetingQuota[[#This Row],[Actual]]/DistMeetingQuota[[#This Row],[Quota]]</f>
        <v>8.3333333333333329E-2</v>
      </c>
      <c r="I881" s="4">
        <v>1</v>
      </c>
      <c r="J881" s="2"/>
      <c r="K881" s="2">
        <v>1</v>
      </c>
      <c r="L881" s="2"/>
      <c r="M881" s="2"/>
      <c r="N881" s="2"/>
      <c r="O881" s="2"/>
      <c r="P881" s="139" t="s">
        <v>708</v>
      </c>
      <c r="Q881" s="2"/>
    </row>
    <row r="882" spans="1:17" s="109" customFormat="1" ht="30">
      <c r="A882" s="4">
        <v>2129797</v>
      </c>
      <c r="B882" s="138" t="s">
        <v>799</v>
      </c>
      <c r="C882" s="4" t="s">
        <v>19</v>
      </c>
      <c r="D882" s="78" t="s">
        <v>11</v>
      </c>
      <c r="E882" s="53">
        <v>2</v>
      </c>
      <c r="F882" s="11">
        <f>SUM(DistMeetingQuota[[#This Row],[Sep]:[Feb]])</f>
        <v>0</v>
      </c>
      <c r="G882" s="11">
        <f>DistMeetingQuota[[#This Row],[Quota]]-DistMeetingQuota[[#This Row],[Actual]]</f>
        <v>2</v>
      </c>
      <c r="H882" s="49">
        <f>DistMeetingQuota[[#This Row],[Actual]]/DistMeetingQuota[[#This Row],[Quota]]</f>
        <v>0</v>
      </c>
      <c r="I882" s="4"/>
      <c r="J882" s="2"/>
      <c r="K882" s="2"/>
      <c r="L882" s="2"/>
      <c r="M882" s="2"/>
      <c r="N882" s="2"/>
      <c r="O882" s="2"/>
      <c r="P882" s="139" t="s">
        <v>708</v>
      </c>
      <c r="Q882" s="2"/>
    </row>
    <row r="883" spans="1:17" s="109" customFormat="1" ht="30">
      <c r="A883" s="4">
        <v>2465509</v>
      </c>
      <c r="B883" s="138" t="s">
        <v>800</v>
      </c>
      <c r="C883" s="4" t="s">
        <v>19</v>
      </c>
      <c r="D883" s="78" t="s">
        <v>5</v>
      </c>
      <c r="E883" s="53">
        <v>24</v>
      </c>
      <c r="F883" s="11">
        <f>SUM(DistMeetingQuota[[#This Row],[Sep]:[Feb]])</f>
        <v>5</v>
      </c>
      <c r="G883" s="11">
        <f>DistMeetingQuota[[#This Row],[Quota]]-DistMeetingQuota[[#This Row],[Actual]]</f>
        <v>19</v>
      </c>
      <c r="H883" s="49">
        <f>DistMeetingQuota[[#This Row],[Actual]]/DistMeetingQuota[[#This Row],[Quota]]</f>
        <v>0.20833333333333334</v>
      </c>
      <c r="I883" s="4"/>
      <c r="J883" s="2">
        <v>1</v>
      </c>
      <c r="K883" s="2">
        <v>1</v>
      </c>
      <c r="L883" s="2">
        <v>1</v>
      </c>
      <c r="M883" s="2">
        <v>1</v>
      </c>
      <c r="N883" s="2">
        <v>1</v>
      </c>
      <c r="O883" s="2"/>
      <c r="P883" s="139" t="s">
        <v>708</v>
      </c>
      <c r="Q883" s="2"/>
    </row>
    <row r="884" spans="1:17" s="109" customFormat="1" ht="30">
      <c r="A884" s="4">
        <v>2465509</v>
      </c>
      <c r="B884" s="138" t="s">
        <v>800</v>
      </c>
      <c r="C884" s="4" t="s">
        <v>19</v>
      </c>
      <c r="D884" s="78" t="s">
        <v>11</v>
      </c>
      <c r="E884" s="53">
        <v>2</v>
      </c>
      <c r="F884" s="11">
        <f>SUM(DistMeetingQuota[[#This Row],[Sep]:[Feb]])</f>
        <v>1</v>
      </c>
      <c r="G884" s="11">
        <f>DistMeetingQuota[[#This Row],[Quota]]-DistMeetingQuota[[#This Row],[Actual]]</f>
        <v>1</v>
      </c>
      <c r="H884" s="49">
        <f>DistMeetingQuota[[#This Row],[Actual]]/DistMeetingQuota[[#This Row],[Quota]]</f>
        <v>0.5</v>
      </c>
      <c r="I884" s="4"/>
      <c r="J884" s="2">
        <v>1</v>
      </c>
      <c r="K884" s="2"/>
      <c r="L884" s="2"/>
      <c r="M884" s="2"/>
      <c r="N884" s="2"/>
      <c r="O884" s="2"/>
      <c r="P884" s="139" t="s">
        <v>708</v>
      </c>
      <c r="Q884" s="2"/>
    </row>
    <row r="885" spans="1:17" s="109" customFormat="1" ht="30">
      <c r="A885" s="4">
        <v>2315979</v>
      </c>
      <c r="B885" s="138" t="s">
        <v>801</v>
      </c>
      <c r="C885" s="4" t="s">
        <v>19</v>
      </c>
      <c r="D885" s="78" t="s">
        <v>11</v>
      </c>
      <c r="E885" s="53">
        <v>2</v>
      </c>
      <c r="F885" s="11">
        <f>SUM(DistMeetingQuota[[#This Row],[Sep]:[Feb]])</f>
        <v>0</v>
      </c>
      <c r="G885" s="11">
        <f>DistMeetingQuota[[#This Row],[Quota]]-DistMeetingQuota[[#This Row],[Actual]]</f>
        <v>2</v>
      </c>
      <c r="H885" s="49">
        <f>DistMeetingQuota[[#This Row],[Actual]]/DistMeetingQuota[[#This Row],[Quota]]</f>
        <v>0</v>
      </c>
      <c r="I885" s="4"/>
      <c r="J885" s="2"/>
      <c r="K885" s="2"/>
      <c r="L885" s="2"/>
      <c r="M885" s="2"/>
      <c r="N885" s="2"/>
      <c r="O885" s="2"/>
      <c r="P885" s="139" t="s">
        <v>10</v>
      </c>
      <c r="Q885" s="2"/>
    </row>
    <row r="886" spans="1:17" s="109" customFormat="1" ht="30">
      <c r="A886" s="4">
        <v>2292825</v>
      </c>
      <c r="B886" s="138" t="s">
        <v>802</v>
      </c>
      <c r="C886" s="4" t="s">
        <v>19</v>
      </c>
      <c r="D886" s="78" t="s">
        <v>11</v>
      </c>
      <c r="E886" s="53">
        <v>2</v>
      </c>
      <c r="F886" s="11">
        <f>SUM(DistMeetingQuota[[#This Row],[Sep]:[Feb]])</f>
        <v>0</v>
      </c>
      <c r="G886" s="11">
        <f>DistMeetingQuota[[#This Row],[Quota]]-DistMeetingQuota[[#This Row],[Actual]]</f>
        <v>2</v>
      </c>
      <c r="H886" s="49">
        <f>DistMeetingQuota[[#This Row],[Actual]]/DistMeetingQuota[[#This Row],[Quota]]</f>
        <v>0</v>
      </c>
      <c r="I886" s="4"/>
      <c r="J886" s="2"/>
      <c r="K886" s="2"/>
      <c r="L886" s="2"/>
      <c r="M886" s="2"/>
      <c r="N886" s="2"/>
      <c r="O886" s="2"/>
      <c r="P886" s="139" t="s">
        <v>10</v>
      </c>
      <c r="Q886" s="2"/>
    </row>
    <row r="887" spans="1:17" s="109" customFormat="1" ht="30">
      <c r="A887" s="4">
        <v>2293033</v>
      </c>
      <c r="B887" s="138" t="s">
        <v>803</v>
      </c>
      <c r="C887" s="4" t="s">
        <v>19</v>
      </c>
      <c r="D887" s="78" t="s">
        <v>11</v>
      </c>
      <c r="E887" s="53">
        <v>2</v>
      </c>
      <c r="F887" s="11">
        <f>SUM(DistMeetingQuota[[#This Row],[Sep]:[Feb]])</f>
        <v>0</v>
      </c>
      <c r="G887" s="11">
        <f>DistMeetingQuota[[#This Row],[Quota]]-DistMeetingQuota[[#This Row],[Actual]]</f>
        <v>2</v>
      </c>
      <c r="H887" s="49">
        <f>DistMeetingQuota[[#This Row],[Actual]]/DistMeetingQuota[[#This Row],[Quota]]</f>
        <v>0</v>
      </c>
      <c r="I887" s="4"/>
      <c r="J887" s="2"/>
      <c r="K887" s="2"/>
      <c r="L887" s="2"/>
      <c r="M887" s="2"/>
      <c r="N887" s="2"/>
      <c r="O887" s="2"/>
      <c r="P887" s="139" t="s">
        <v>10</v>
      </c>
      <c r="Q887" s="2"/>
    </row>
    <row r="888" spans="1:17" s="109" customFormat="1" ht="30">
      <c r="A888" s="4">
        <v>2292469</v>
      </c>
      <c r="B888" s="138" t="s">
        <v>804</v>
      </c>
      <c r="C888" s="4" t="s">
        <v>19</v>
      </c>
      <c r="D888" s="78" t="s">
        <v>11</v>
      </c>
      <c r="E888" s="53">
        <v>2</v>
      </c>
      <c r="F888" s="11">
        <f>SUM(DistMeetingQuota[[#This Row],[Sep]:[Feb]])</f>
        <v>0</v>
      </c>
      <c r="G888" s="11">
        <f>DistMeetingQuota[[#This Row],[Quota]]-DistMeetingQuota[[#This Row],[Actual]]</f>
        <v>2</v>
      </c>
      <c r="H888" s="49">
        <f>DistMeetingQuota[[#This Row],[Actual]]/DistMeetingQuota[[#This Row],[Quota]]</f>
        <v>0</v>
      </c>
      <c r="I888" s="4"/>
      <c r="J888" s="2"/>
      <c r="K888" s="2"/>
      <c r="L888" s="2"/>
      <c r="M888" s="2"/>
      <c r="N888" s="2"/>
      <c r="O888" s="2"/>
      <c r="P888" s="139" t="s">
        <v>10</v>
      </c>
      <c r="Q888" s="2"/>
    </row>
    <row r="889" spans="1:17" s="109" customFormat="1" ht="30">
      <c r="A889" s="4">
        <v>2422951</v>
      </c>
      <c r="B889" s="138" t="s">
        <v>805</v>
      </c>
      <c r="C889" s="4" t="s">
        <v>36</v>
      </c>
      <c r="D889" s="78" t="s">
        <v>11</v>
      </c>
      <c r="E889" s="53">
        <v>2</v>
      </c>
      <c r="F889" s="11">
        <f>SUM(DistMeetingQuota[[#This Row],[Sep]:[Feb]])</f>
        <v>0</v>
      </c>
      <c r="G889" s="11">
        <f>DistMeetingQuota[[#This Row],[Quota]]-DistMeetingQuota[[#This Row],[Actual]]</f>
        <v>2</v>
      </c>
      <c r="H889" s="49">
        <f>DistMeetingQuota[[#This Row],[Actual]]/DistMeetingQuota[[#This Row],[Quota]]</f>
        <v>0</v>
      </c>
      <c r="I889" s="4"/>
      <c r="J889" s="2"/>
      <c r="K889" s="2"/>
      <c r="L889" s="2"/>
      <c r="M889" s="2"/>
      <c r="N889" s="2"/>
      <c r="O889" s="2"/>
      <c r="P889" s="139" t="s">
        <v>60</v>
      </c>
      <c r="Q889" s="2"/>
    </row>
    <row r="890" spans="1:17" s="109" customFormat="1" ht="30">
      <c r="A890" s="4">
        <v>2134864</v>
      </c>
      <c r="B890" s="138" t="s">
        <v>806</v>
      </c>
      <c r="C890" s="4" t="s">
        <v>36</v>
      </c>
      <c r="D890" s="78" t="s">
        <v>5</v>
      </c>
      <c r="E890" s="53">
        <v>24</v>
      </c>
      <c r="F890" s="11">
        <f>SUM(DistMeetingQuota[[#This Row],[Sep]:[Feb]])</f>
        <v>5</v>
      </c>
      <c r="G890" s="11">
        <f>DistMeetingQuota[[#This Row],[Quota]]-DistMeetingQuota[[#This Row],[Actual]]</f>
        <v>19</v>
      </c>
      <c r="H890" s="49">
        <f>DistMeetingQuota[[#This Row],[Actual]]/DistMeetingQuota[[#This Row],[Quota]]</f>
        <v>0.20833333333333334</v>
      </c>
      <c r="I890" s="4">
        <v>1</v>
      </c>
      <c r="J890" s="2"/>
      <c r="K890" s="2"/>
      <c r="L890" s="2">
        <v>2</v>
      </c>
      <c r="M890" s="2">
        <v>2</v>
      </c>
      <c r="N890" s="2"/>
      <c r="O890" s="2"/>
      <c r="P890" s="139" t="s">
        <v>6</v>
      </c>
      <c r="Q890" s="2"/>
    </row>
    <row r="891" spans="1:17" s="109" customFormat="1" ht="30">
      <c r="A891" s="4">
        <v>2134864</v>
      </c>
      <c r="B891" s="138" t="s">
        <v>806</v>
      </c>
      <c r="C891" s="4" t="s">
        <v>36</v>
      </c>
      <c r="D891" s="78" t="s">
        <v>11</v>
      </c>
      <c r="E891" s="53">
        <v>2</v>
      </c>
      <c r="F891" s="11">
        <f>SUM(DistMeetingQuota[[#This Row],[Sep]:[Feb]])</f>
        <v>1</v>
      </c>
      <c r="G891" s="11">
        <f>DistMeetingQuota[[#This Row],[Quota]]-DistMeetingQuota[[#This Row],[Actual]]</f>
        <v>1</v>
      </c>
      <c r="H891" s="49">
        <f>DistMeetingQuota[[#This Row],[Actual]]/DistMeetingQuota[[#This Row],[Quota]]</f>
        <v>0.5</v>
      </c>
      <c r="I891" s="4"/>
      <c r="J891" s="2">
        <v>1</v>
      </c>
      <c r="K891" s="2"/>
      <c r="L891" s="2"/>
      <c r="M891" s="2"/>
      <c r="N891" s="2"/>
      <c r="O891" s="2"/>
      <c r="P891" s="139" t="s">
        <v>6</v>
      </c>
      <c r="Q891" s="2"/>
    </row>
    <row r="892" spans="1:17" s="109" customFormat="1" ht="30">
      <c r="A892" s="4">
        <v>2352857</v>
      </c>
      <c r="B892" s="138" t="s">
        <v>807</v>
      </c>
      <c r="C892" s="4" t="s">
        <v>19</v>
      </c>
      <c r="D892" s="78" t="s">
        <v>11</v>
      </c>
      <c r="E892" s="53">
        <v>2</v>
      </c>
      <c r="F892" s="11">
        <f>SUM(DistMeetingQuota[[#This Row],[Sep]:[Feb]])</f>
        <v>1</v>
      </c>
      <c r="G892" s="11">
        <f>DistMeetingQuota[[#This Row],[Quota]]-DistMeetingQuota[[#This Row],[Actual]]</f>
        <v>1</v>
      </c>
      <c r="H892" s="49">
        <f>DistMeetingQuota[[#This Row],[Actual]]/DistMeetingQuota[[#This Row],[Quota]]</f>
        <v>0.5</v>
      </c>
      <c r="I892" s="4"/>
      <c r="J892" s="2"/>
      <c r="K892" s="2"/>
      <c r="L892" s="2"/>
      <c r="M892" s="2">
        <v>1</v>
      </c>
      <c r="N892" s="2"/>
      <c r="O892" s="2"/>
      <c r="P892" s="139" t="s">
        <v>475</v>
      </c>
      <c r="Q892" s="2"/>
    </row>
    <row r="893" spans="1:17" s="109" customFormat="1" ht="30">
      <c r="A893" s="210">
        <v>2179208</v>
      </c>
      <c r="B893" s="211" t="s">
        <v>808</v>
      </c>
      <c r="C893" s="210" t="s">
        <v>19</v>
      </c>
      <c r="D893" s="212" t="s">
        <v>5</v>
      </c>
      <c r="E893" s="213">
        <v>24</v>
      </c>
      <c r="F893" s="214">
        <f>SUM(DistMeetingQuota[[#This Row],[Sep]:[Feb]])</f>
        <v>16</v>
      </c>
      <c r="G893" s="214">
        <f>DistMeetingQuota[[#This Row],[Quota]]-DistMeetingQuota[[#This Row],[Actual]]</f>
        <v>8</v>
      </c>
      <c r="H893" s="215">
        <f>DistMeetingQuota[[#This Row],[Actual]]/DistMeetingQuota[[#This Row],[Quota]]</f>
        <v>0.66666666666666663</v>
      </c>
      <c r="I893" s="210">
        <v>4</v>
      </c>
      <c r="J893" s="216">
        <v>4</v>
      </c>
      <c r="K893" s="216">
        <v>4</v>
      </c>
      <c r="L893" s="216">
        <v>4</v>
      </c>
      <c r="M893" s="216"/>
      <c r="N893" s="216"/>
      <c r="O893" s="216"/>
      <c r="P893" s="217" t="s">
        <v>4</v>
      </c>
      <c r="Q893" s="216"/>
    </row>
    <row r="894" spans="1:17" s="109" customFormat="1" ht="30">
      <c r="A894" s="210">
        <v>2179208</v>
      </c>
      <c r="B894" s="211" t="s">
        <v>808</v>
      </c>
      <c r="C894" s="210" t="s">
        <v>19</v>
      </c>
      <c r="D894" s="212" t="s">
        <v>11</v>
      </c>
      <c r="E894" s="213">
        <v>2</v>
      </c>
      <c r="F894" s="214">
        <f>SUM(DistMeetingQuota[[#This Row],[Sep]:[Feb]])</f>
        <v>2</v>
      </c>
      <c r="G894" s="214">
        <f>DistMeetingQuota[[#This Row],[Quota]]-DistMeetingQuota[[#This Row],[Actual]]</f>
        <v>0</v>
      </c>
      <c r="H894" s="215">
        <f>DistMeetingQuota[[#This Row],[Actual]]/DistMeetingQuota[[#This Row],[Quota]]</f>
        <v>1</v>
      </c>
      <c r="I894" s="210">
        <v>1</v>
      </c>
      <c r="J894" s="216"/>
      <c r="K894" s="216"/>
      <c r="L894" s="216"/>
      <c r="M894" s="216">
        <v>1</v>
      </c>
      <c r="N894" s="216"/>
      <c r="O894" s="216"/>
      <c r="P894" s="217" t="s">
        <v>4</v>
      </c>
      <c r="Q894" s="216"/>
    </row>
    <row r="895" spans="1:17" s="109" customFormat="1" ht="30">
      <c r="A895" s="4">
        <v>2393969</v>
      </c>
      <c r="B895" s="138" t="s">
        <v>809</v>
      </c>
      <c r="C895" s="4" t="s">
        <v>19</v>
      </c>
      <c r="D895" s="78" t="s">
        <v>11</v>
      </c>
      <c r="E895" s="53">
        <v>2</v>
      </c>
      <c r="F895" s="11">
        <f>SUM(DistMeetingQuota[[#This Row],[Sep]:[Feb]])</f>
        <v>2</v>
      </c>
      <c r="G895" s="11">
        <f>DistMeetingQuota[[#This Row],[Quota]]-DistMeetingQuota[[#This Row],[Actual]]</f>
        <v>0</v>
      </c>
      <c r="H895" s="49">
        <f>DistMeetingQuota[[#This Row],[Actual]]/DistMeetingQuota[[#This Row],[Quota]]</f>
        <v>1</v>
      </c>
      <c r="I895" s="4">
        <v>1</v>
      </c>
      <c r="J895" s="2">
        <v>1</v>
      </c>
      <c r="K895" s="2"/>
      <c r="L895" s="2"/>
      <c r="M895" s="2"/>
      <c r="N895" s="2"/>
      <c r="O895" s="2"/>
      <c r="P895" s="139" t="s">
        <v>14</v>
      </c>
      <c r="Q895" s="2"/>
    </row>
    <row r="896" spans="1:17" s="109" customFormat="1" ht="30">
      <c r="A896" s="4">
        <v>2393969</v>
      </c>
      <c r="B896" s="138" t="s">
        <v>809</v>
      </c>
      <c r="C896" s="4" t="s">
        <v>19</v>
      </c>
      <c r="D896" s="78" t="s">
        <v>5</v>
      </c>
      <c r="E896" s="53">
        <v>24</v>
      </c>
      <c r="F896" s="11">
        <f>SUM(DistMeetingQuota[[#This Row],[Sep]:[Feb]])</f>
        <v>0</v>
      </c>
      <c r="G896" s="11">
        <f>DistMeetingQuota[[#This Row],[Quota]]-DistMeetingQuota[[#This Row],[Actual]]</f>
        <v>24</v>
      </c>
      <c r="H896" s="49">
        <f>DistMeetingQuota[[#This Row],[Actual]]/DistMeetingQuota[[#This Row],[Quota]]</f>
        <v>0</v>
      </c>
      <c r="I896" s="4"/>
      <c r="J896" s="2"/>
      <c r="K896" s="2"/>
      <c r="L896" s="2"/>
      <c r="M896" s="2"/>
      <c r="N896" s="2"/>
      <c r="O896" s="2"/>
      <c r="P896" s="139" t="s">
        <v>14</v>
      </c>
      <c r="Q896" s="2"/>
    </row>
    <row r="897" spans="1:17" s="109" customFormat="1" ht="30">
      <c r="A897" s="4">
        <v>2365513</v>
      </c>
      <c r="B897" s="138" t="s">
        <v>810</v>
      </c>
      <c r="C897" s="4" t="s">
        <v>19</v>
      </c>
      <c r="D897" s="78" t="s">
        <v>11</v>
      </c>
      <c r="E897" s="53">
        <v>2</v>
      </c>
      <c r="F897" s="11">
        <f>SUM(DistMeetingQuota[[#This Row],[Sep]:[Feb]])</f>
        <v>2</v>
      </c>
      <c r="G897" s="11">
        <f>DistMeetingQuota[[#This Row],[Quota]]-DistMeetingQuota[[#This Row],[Actual]]</f>
        <v>0</v>
      </c>
      <c r="H897" s="49">
        <f>DistMeetingQuota[[#This Row],[Actual]]/DistMeetingQuota[[#This Row],[Quota]]</f>
        <v>1</v>
      </c>
      <c r="I897" s="4">
        <v>2</v>
      </c>
      <c r="J897" s="2"/>
      <c r="K897" s="2"/>
      <c r="L897" s="2"/>
      <c r="M897" s="2"/>
      <c r="N897" s="2"/>
      <c r="O897" s="2"/>
      <c r="P897" s="139" t="s">
        <v>14</v>
      </c>
      <c r="Q897" s="2"/>
    </row>
    <row r="898" spans="1:17" s="109" customFormat="1" ht="30">
      <c r="A898" s="4">
        <v>2390072</v>
      </c>
      <c r="B898" s="138" t="s">
        <v>811</v>
      </c>
      <c r="C898" s="4" t="s">
        <v>19</v>
      </c>
      <c r="D898" s="78" t="s">
        <v>11</v>
      </c>
      <c r="E898" s="53">
        <v>2</v>
      </c>
      <c r="F898" s="11">
        <f>SUM(DistMeetingQuota[[#This Row],[Sep]:[Feb]])</f>
        <v>2</v>
      </c>
      <c r="G898" s="11">
        <f>DistMeetingQuota[[#This Row],[Quota]]-DistMeetingQuota[[#This Row],[Actual]]</f>
        <v>0</v>
      </c>
      <c r="H898" s="49">
        <f>DistMeetingQuota[[#This Row],[Actual]]/DistMeetingQuota[[#This Row],[Quota]]</f>
        <v>1</v>
      </c>
      <c r="I898" s="4">
        <v>2</v>
      </c>
      <c r="J898" s="2"/>
      <c r="K898" s="2"/>
      <c r="L898" s="2"/>
      <c r="M898" s="2"/>
      <c r="N898" s="2"/>
      <c r="O898" s="2"/>
      <c r="P898" s="139" t="s">
        <v>14</v>
      </c>
      <c r="Q898" s="2"/>
    </row>
    <row r="899" spans="1:17" s="109" customFormat="1" ht="30">
      <c r="A899" s="4">
        <v>2540806</v>
      </c>
      <c r="B899" s="138" t="s">
        <v>812</v>
      </c>
      <c r="C899" s="4" t="s">
        <v>19</v>
      </c>
      <c r="D899" s="78" t="s">
        <v>11</v>
      </c>
      <c r="E899" s="53">
        <v>2</v>
      </c>
      <c r="F899" s="11">
        <f>SUM(DistMeetingQuota[[#This Row],[Sep]:[Feb]])</f>
        <v>0</v>
      </c>
      <c r="G899" s="11">
        <f>DistMeetingQuota[[#This Row],[Quota]]-DistMeetingQuota[[#This Row],[Actual]]</f>
        <v>2</v>
      </c>
      <c r="H899" s="49">
        <f>DistMeetingQuota[[#This Row],[Actual]]/DistMeetingQuota[[#This Row],[Quota]]</f>
        <v>0</v>
      </c>
      <c r="I899" s="4"/>
      <c r="J899" s="2"/>
      <c r="K899" s="2"/>
      <c r="L899" s="2"/>
      <c r="M899" s="2"/>
      <c r="N899" s="2"/>
      <c r="O899" s="2"/>
      <c r="P899" s="139" t="s">
        <v>14</v>
      </c>
      <c r="Q899" s="2"/>
    </row>
    <row r="900" spans="1:17" s="109" customFormat="1">
      <c r="A900" s="4">
        <v>2436526</v>
      </c>
      <c r="B900" s="138" t="s">
        <v>813</v>
      </c>
      <c r="C900" s="4" t="s">
        <v>19</v>
      </c>
      <c r="D900" s="78" t="s">
        <v>5</v>
      </c>
      <c r="E900" s="53">
        <v>24</v>
      </c>
      <c r="F900" s="11">
        <f>SUM(DistMeetingQuota[[#This Row],[Sep]:[Feb]])</f>
        <v>0</v>
      </c>
      <c r="G900" s="11">
        <f>DistMeetingQuota[[#This Row],[Quota]]-DistMeetingQuota[[#This Row],[Actual]]</f>
        <v>24</v>
      </c>
      <c r="H900" s="49">
        <f>DistMeetingQuota[[#This Row],[Actual]]/DistMeetingQuota[[#This Row],[Quota]]</f>
        <v>0</v>
      </c>
      <c r="I900" s="4"/>
      <c r="J900" s="2"/>
      <c r="K900" s="2"/>
      <c r="L900" s="2"/>
      <c r="M900" s="2"/>
      <c r="N900" s="2"/>
      <c r="O900" s="2"/>
      <c r="P900" s="139" t="s">
        <v>6</v>
      </c>
      <c r="Q900" s="2"/>
    </row>
    <row r="901" spans="1:17" s="109" customFormat="1">
      <c r="A901" s="4">
        <v>2436526</v>
      </c>
      <c r="B901" s="138" t="s">
        <v>813</v>
      </c>
      <c r="C901" s="4" t="s">
        <v>19</v>
      </c>
      <c r="D901" s="78" t="s">
        <v>11</v>
      </c>
      <c r="E901" s="53">
        <v>2</v>
      </c>
      <c r="F901" s="11">
        <f>SUM(DistMeetingQuota[[#This Row],[Sep]:[Feb]])</f>
        <v>2</v>
      </c>
      <c r="G901" s="11">
        <f>DistMeetingQuota[[#This Row],[Quota]]-DistMeetingQuota[[#This Row],[Actual]]</f>
        <v>0</v>
      </c>
      <c r="H901" s="49">
        <f>DistMeetingQuota[[#This Row],[Actual]]/DistMeetingQuota[[#This Row],[Quota]]</f>
        <v>1</v>
      </c>
      <c r="I901" s="4"/>
      <c r="J901" s="2">
        <v>1</v>
      </c>
      <c r="K901" s="2"/>
      <c r="L901" s="2">
        <v>1</v>
      </c>
      <c r="M901" s="2"/>
      <c r="N901" s="2"/>
      <c r="O901" s="2"/>
      <c r="P901" s="139" t="s">
        <v>6</v>
      </c>
      <c r="Q901" s="2"/>
    </row>
    <row r="902" spans="1:17" s="109" customFormat="1">
      <c r="A902" s="230">
        <v>2515007</v>
      </c>
      <c r="B902" s="138" t="s">
        <v>814</v>
      </c>
      <c r="C902" s="230" t="s">
        <v>19</v>
      </c>
      <c r="D902" s="232" t="s">
        <v>5</v>
      </c>
      <c r="E902" s="233">
        <v>24</v>
      </c>
      <c r="F902" s="234">
        <f>SUM(DistMeetingQuota[[#This Row],[Sep]:[Feb]])</f>
        <v>2</v>
      </c>
      <c r="G902" s="234">
        <f>DistMeetingQuota[[#This Row],[Quota]]-DistMeetingQuota[[#This Row],[Actual]]</f>
        <v>22</v>
      </c>
      <c r="H902" s="235">
        <f>DistMeetingQuota[[#This Row],[Actual]]/DistMeetingQuota[[#This Row],[Quota]]</f>
        <v>8.3333333333333329E-2</v>
      </c>
      <c r="I902" s="230">
        <v>2</v>
      </c>
      <c r="J902" s="236"/>
      <c r="K902" s="236"/>
      <c r="L902" s="236"/>
      <c r="M902" s="236"/>
      <c r="N902" s="236"/>
      <c r="O902" s="236"/>
      <c r="P902" s="237" t="s">
        <v>789</v>
      </c>
      <c r="Q902" s="236"/>
    </row>
    <row r="903" spans="1:17" s="109" customFormat="1">
      <c r="A903" s="230">
        <v>2515007</v>
      </c>
      <c r="B903" s="231" t="s">
        <v>814</v>
      </c>
      <c r="C903" s="230" t="s">
        <v>19</v>
      </c>
      <c r="D903" s="232" t="s">
        <v>11</v>
      </c>
      <c r="E903" s="233">
        <v>2</v>
      </c>
      <c r="F903" s="234">
        <f>SUM(DistMeetingQuota[[#This Row],[Sep]:[Feb]])</f>
        <v>0</v>
      </c>
      <c r="G903" s="234">
        <f>DistMeetingQuota[[#This Row],[Quota]]-DistMeetingQuota[[#This Row],[Actual]]</f>
        <v>2</v>
      </c>
      <c r="H903" s="235">
        <f>DistMeetingQuota[[#This Row],[Actual]]/DistMeetingQuota[[#This Row],[Quota]]</f>
        <v>0</v>
      </c>
      <c r="I903" s="230"/>
      <c r="J903" s="236"/>
      <c r="K903" s="236"/>
      <c r="L903" s="236"/>
      <c r="M903" s="236"/>
      <c r="N903" s="236"/>
      <c r="O903" s="236"/>
      <c r="P903" s="237" t="s">
        <v>789</v>
      </c>
      <c r="Q903" s="236"/>
    </row>
    <row r="904" spans="1:17" s="109" customFormat="1">
      <c r="A904" s="4">
        <v>2041829</v>
      </c>
      <c r="B904" s="138" t="s">
        <v>815</v>
      </c>
      <c r="C904" s="4" t="s">
        <v>19</v>
      </c>
      <c r="D904" s="78" t="s">
        <v>11</v>
      </c>
      <c r="E904" s="53">
        <v>2</v>
      </c>
      <c r="F904" s="11">
        <f>SUM(DistMeetingQuota[[#This Row],[Sep]:[Feb]])</f>
        <v>0</v>
      </c>
      <c r="G904" s="11">
        <f>DistMeetingQuota[[#This Row],[Quota]]-DistMeetingQuota[[#This Row],[Actual]]</f>
        <v>2</v>
      </c>
      <c r="H904" s="49">
        <f>DistMeetingQuota[[#This Row],[Actual]]/DistMeetingQuota[[#This Row],[Quota]]</f>
        <v>0</v>
      </c>
      <c r="I904" s="4"/>
      <c r="J904" s="2"/>
      <c r="K904" s="2"/>
      <c r="L904" s="2"/>
      <c r="M904" s="2"/>
      <c r="N904" s="2"/>
      <c r="O904" s="2"/>
      <c r="P904" s="139" t="s">
        <v>6</v>
      </c>
      <c r="Q904" s="2"/>
    </row>
    <row r="905" spans="1:17" s="109" customFormat="1" ht="30">
      <c r="A905" s="4">
        <v>2257521</v>
      </c>
      <c r="B905" s="138" t="s">
        <v>816</v>
      </c>
      <c r="C905" s="4" t="s">
        <v>19</v>
      </c>
      <c r="D905" s="78" t="s">
        <v>5</v>
      </c>
      <c r="E905" s="53">
        <v>24</v>
      </c>
      <c r="F905" s="11">
        <f>SUM(DistMeetingQuota[[#This Row],[Sep]:[Feb]])</f>
        <v>8</v>
      </c>
      <c r="G905" s="11">
        <f>DistMeetingQuota[[#This Row],[Quota]]-DistMeetingQuota[[#This Row],[Actual]]</f>
        <v>16</v>
      </c>
      <c r="H905" s="49">
        <f>DistMeetingQuota[[#This Row],[Actual]]/DistMeetingQuota[[#This Row],[Quota]]</f>
        <v>0.33333333333333331</v>
      </c>
      <c r="I905" s="4"/>
      <c r="J905" s="2"/>
      <c r="K905" s="2">
        <v>4</v>
      </c>
      <c r="L905" s="2">
        <v>4</v>
      </c>
      <c r="M905" s="2"/>
      <c r="N905" s="2"/>
      <c r="O905" s="2"/>
      <c r="P905" s="139" t="s">
        <v>6</v>
      </c>
      <c r="Q905" s="2"/>
    </row>
    <row r="906" spans="1:17" s="109" customFormat="1" ht="30">
      <c r="A906" s="4">
        <v>2257521</v>
      </c>
      <c r="B906" s="138" t="s">
        <v>816</v>
      </c>
      <c r="C906" s="4" t="s">
        <v>19</v>
      </c>
      <c r="D906" s="78" t="s">
        <v>11</v>
      </c>
      <c r="E906" s="53">
        <v>2</v>
      </c>
      <c r="F906" s="11">
        <f>SUM(DistMeetingQuota[[#This Row],[Sep]:[Feb]])</f>
        <v>1</v>
      </c>
      <c r="G906" s="11">
        <f>DistMeetingQuota[[#This Row],[Quota]]-DistMeetingQuota[[#This Row],[Actual]]</f>
        <v>1</v>
      </c>
      <c r="H906" s="49">
        <f>DistMeetingQuota[[#This Row],[Actual]]/DistMeetingQuota[[#This Row],[Quota]]</f>
        <v>0.5</v>
      </c>
      <c r="I906" s="4"/>
      <c r="J906" s="2"/>
      <c r="K906" s="2"/>
      <c r="L906" s="2">
        <v>1</v>
      </c>
      <c r="M906" s="2"/>
      <c r="N906" s="2"/>
      <c r="O906" s="2"/>
      <c r="P906" s="139" t="s">
        <v>6</v>
      </c>
      <c r="Q906" s="2"/>
    </row>
    <row r="907" spans="1:17" s="109" customFormat="1">
      <c r="A907" s="238">
        <v>2026791</v>
      </c>
      <c r="B907" s="239" t="s">
        <v>817</v>
      </c>
      <c r="C907" s="238" t="s">
        <v>19</v>
      </c>
      <c r="D907" s="240" t="s">
        <v>11</v>
      </c>
      <c r="E907" s="241">
        <v>2</v>
      </c>
      <c r="F907" s="242">
        <f>SUM(DistMeetingQuota[[#This Row],[Sep]:[Feb]])</f>
        <v>0</v>
      </c>
      <c r="G907" s="242">
        <f>DistMeetingQuota[[#This Row],[Quota]]-DistMeetingQuota[[#This Row],[Actual]]</f>
        <v>2</v>
      </c>
      <c r="H907" s="243">
        <f>DistMeetingQuota[[#This Row],[Actual]]/DistMeetingQuota[[#This Row],[Quota]]</f>
        <v>0</v>
      </c>
      <c r="I907" s="238"/>
      <c r="J907" s="244"/>
      <c r="K907" s="244"/>
      <c r="L907" s="244"/>
      <c r="M907" s="244"/>
      <c r="N907" s="244"/>
      <c r="O907" s="244"/>
      <c r="P907" s="245" t="s">
        <v>10</v>
      </c>
      <c r="Q907" s="244"/>
    </row>
    <row r="908" spans="1:17" s="109" customFormat="1">
      <c r="A908" s="238">
        <v>2009259</v>
      </c>
      <c r="B908" s="239" t="s">
        <v>818</v>
      </c>
      <c r="C908" s="238" t="s">
        <v>19</v>
      </c>
      <c r="D908" s="240" t="s">
        <v>11</v>
      </c>
      <c r="E908" s="241">
        <v>2</v>
      </c>
      <c r="F908" s="242">
        <f>SUM(DistMeetingQuota[[#This Row],[Sep]:[Feb]])</f>
        <v>0</v>
      </c>
      <c r="G908" s="242">
        <f>DistMeetingQuota[[#This Row],[Quota]]-DistMeetingQuota[[#This Row],[Actual]]</f>
        <v>2</v>
      </c>
      <c r="H908" s="243">
        <f>DistMeetingQuota[[#This Row],[Actual]]/DistMeetingQuota[[#This Row],[Quota]]</f>
        <v>0</v>
      </c>
      <c r="I908" s="238"/>
      <c r="J908" s="244"/>
      <c r="K908" s="244"/>
      <c r="L908" s="244"/>
      <c r="M908" s="244"/>
      <c r="N908" s="244"/>
      <c r="O908" s="244"/>
      <c r="P908" s="245" t="s">
        <v>10</v>
      </c>
      <c r="Q908" s="244"/>
    </row>
    <row r="909" spans="1:17" s="109" customFormat="1">
      <c r="A909" s="238">
        <v>2009161</v>
      </c>
      <c r="B909" s="239" t="s">
        <v>819</v>
      </c>
      <c r="C909" s="238" t="s">
        <v>19</v>
      </c>
      <c r="D909" s="240" t="s">
        <v>11</v>
      </c>
      <c r="E909" s="241">
        <v>2</v>
      </c>
      <c r="F909" s="242">
        <f>SUM(DistMeetingQuota[[#This Row],[Sep]:[Feb]])</f>
        <v>0</v>
      </c>
      <c r="G909" s="242">
        <f>DistMeetingQuota[[#This Row],[Quota]]-DistMeetingQuota[[#This Row],[Actual]]</f>
        <v>2</v>
      </c>
      <c r="H909" s="243">
        <f>DistMeetingQuota[[#This Row],[Actual]]/DistMeetingQuota[[#This Row],[Quota]]</f>
        <v>0</v>
      </c>
      <c r="I909" s="238"/>
      <c r="J909" s="244"/>
      <c r="K909" s="244"/>
      <c r="L909" s="244"/>
      <c r="M909" s="244"/>
      <c r="N909" s="244"/>
      <c r="O909" s="244"/>
      <c r="P909" s="245" t="s">
        <v>10</v>
      </c>
      <c r="Q909" s="244"/>
    </row>
    <row r="910" spans="1:17" s="109" customFormat="1">
      <c r="A910" s="4">
        <v>2303259</v>
      </c>
      <c r="B910" s="138" t="s">
        <v>820</v>
      </c>
      <c r="C910" s="4" t="s">
        <v>19</v>
      </c>
      <c r="D910" s="78" t="s">
        <v>11</v>
      </c>
      <c r="E910" s="53">
        <v>2</v>
      </c>
      <c r="F910" s="11">
        <f>SUM(DistMeetingQuota[[#This Row],[Sep]:[Feb]])</f>
        <v>1</v>
      </c>
      <c r="G910" s="11">
        <f>DistMeetingQuota[[#This Row],[Quota]]-DistMeetingQuota[[#This Row],[Actual]]</f>
        <v>1</v>
      </c>
      <c r="H910" s="49">
        <f>DistMeetingQuota[[#This Row],[Actual]]/DistMeetingQuota[[#This Row],[Quota]]</f>
        <v>0.5</v>
      </c>
      <c r="I910" s="4">
        <v>1</v>
      </c>
      <c r="J910" s="2"/>
      <c r="K910" s="2"/>
      <c r="L910" s="2"/>
      <c r="M910" s="2"/>
      <c r="N910" s="2"/>
      <c r="O910" s="2"/>
      <c r="P910" s="139" t="s">
        <v>14</v>
      </c>
      <c r="Q910" s="2"/>
    </row>
    <row r="911" spans="1:17" s="109" customFormat="1">
      <c r="A911" s="4">
        <v>2592024</v>
      </c>
      <c r="B911" s="138" t="s">
        <v>821</v>
      </c>
      <c r="C911" s="4" t="s">
        <v>19</v>
      </c>
      <c r="D911" s="78" t="s">
        <v>5</v>
      </c>
      <c r="E911" s="53">
        <v>24</v>
      </c>
      <c r="F911" s="11">
        <f>SUM(DistMeetingQuota[[#This Row],[Sep]:[Feb]])</f>
        <v>24</v>
      </c>
      <c r="G911" s="11">
        <f>DistMeetingQuota[[#This Row],[Quota]]-DistMeetingQuota[[#This Row],[Actual]]</f>
        <v>0</v>
      </c>
      <c r="H911" s="49">
        <f>DistMeetingQuota[[#This Row],[Actual]]/DistMeetingQuota[[#This Row],[Quota]]</f>
        <v>1</v>
      </c>
      <c r="I911" s="4"/>
      <c r="J911" s="2">
        <v>10</v>
      </c>
      <c r="K911" s="2">
        <v>9</v>
      </c>
      <c r="L911" s="2">
        <v>5</v>
      </c>
      <c r="M911" s="2"/>
      <c r="N911" s="2"/>
      <c r="O911" s="2"/>
      <c r="P911" s="139" t="s">
        <v>10</v>
      </c>
      <c r="Q911" s="2"/>
    </row>
    <row r="912" spans="1:17" s="109" customFormat="1">
      <c r="A912" s="4">
        <v>2592024</v>
      </c>
      <c r="B912" s="138" t="s">
        <v>821</v>
      </c>
      <c r="C912" s="4" t="s">
        <v>19</v>
      </c>
      <c r="D912" s="78" t="s">
        <v>11</v>
      </c>
      <c r="E912" s="53">
        <v>2</v>
      </c>
      <c r="F912" s="11">
        <f>SUM(DistMeetingQuota[[#This Row],[Sep]:[Feb]])</f>
        <v>2</v>
      </c>
      <c r="G912" s="11">
        <f>DistMeetingQuota[[#This Row],[Quota]]-DistMeetingQuota[[#This Row],[Actual]]</f>
        <v>0</v>
      </c>
      <c r="H912" s="49">
        <f>DistMeetingQuota[[#This Row],[Actual]]/DistMeetingQuota[[#This Row],[Quota]]</f>
        <v>1</v>
      </c>
      <c r="I912" s="4">
        <v>2</v>
      </c>
      <c r="J912" s="2"/>
      <c r="K912" s="2"/>
      <c r="L912" s="2"/>
      <c r="M912" s="2"/>
      <c r="N912" s="2"/>
      <c r="O912" s="2"/>
      <c r="P912" s="139" t="s">
        <v>10</v>
      </c>
      <c r="Q912" s="2"/>
    </row>
    <row r="913" spans="1:17" s="109" customFormat="1" ht="30">
      <c r="A913" s="278">
        <v>2257004</v>
      </c>
      <c r="B913" s="279" t="s">
        <v>843</v>
      </c>
      <c r="C913" s="278" t="s">
        <v>19</v>
      </c>
      <c r="D913" s="280" t="s">
        <v>11</v>
      </c>
      <c r="E913" s="281">
        <v>2</v>
      </c>
      <c r="F913" s="282">
        <f>SUM(DistMeetingQuota[[#This Row],[Sep]:[Feb]])</f>
        <v>0</v>
      </c>
      <c r="G913" s="282">
        <f>DistMeetingQuota[[#This Row],[Quota]]-DistMeetingQuota[[#This Row],[Actual]]</f>
        <v>2</v>
      </c>
      <c r="H913" s="283">
        <f>DistMeetingQuota[[#This Row],[Actual]]/DistMeetingQuota[[#This Row],[Quota]]</f>
        <v>0</v>
      </c>
      <c r="I913" s="278"/>
      <c r="J913" s="284"/>
      <c r="K913" s="284"/>
      <c r="L913" s="284"/>
      <c r="M913" s="284"/>
      <c r="N913" s="284"/>
      <c r="O913" s="284"/>
      <c r="P913" s="285" t="s">
        <v>67</v>
      </c>
      <c r="Q913" s="284"/>
    </row>
    <row r="914" spans="1:17" s="109" customFormat="1">
      <c r="A914" s="4">
        <v>2031611</v>
      </c>
      <c r="B914" s="138" t="s">
        <v>822</v>
      </c>
      <c r="C914" s="4" t="s">
        <v>21</v>
      </c>
      <c r="D914" s="78" t="s">
        <v>11</v>
      </c>
      <c r="E914" s="53">
        <v>3</v>
      </c>
      <c r="F914" s="11">
        <f>SUM(DistMeetingQuota[[#This Row],[Sep]:[Feb]])</f>
        <v>3</v>
      </c>
      <c r="G914" s="11">
        <f>DistMeetingQuota[[#This Row],[Quota]]-DistMeetingQuota[[#This Row],[Actual]]</f>
        <v>0</v>
      </c>
      <c r="H914" s="49">
        <f>DistMeetingQuota[[#This Row],[Actual]]/DistMeetingQuota[[#This Row],[Quota]]</f>
        <v>1</v>
      </c>
      <c r="I914" s="4"/>
      <c r="J914" s="2"/>
      <c r="K914" s="2"/>
      <c r="L914" s="2"/>
      <c r="M914" s="2"/>
      <c r="N914" s="2">
        <v>3</v>
      </c>
      <c r="O914" s="2"/>
      <c r="P914" s="139" t="s">
        <v>10</v>
      </c>
      <c r="Q914" s="2"/>
    </row>
    <row r="915" spans="1:17" s="109" customFormat="1" ht="30">
      <c r="A915" s="4">
        <v>2291306</v>
      </c>
      <c r="B915" s="138" t="s">
        <v>823</v>
      </c>
      <c r="C915" s="4" t="s">
        <v>19</v>
      </c>
      <c r="D915" s="78" t="s">
        <v>11</v>
      </c>
      <c r="E915" s="53">
        <v>2</v>
      </c>
      <c r="F915" s="11">
        <f>SUM(DistMeetingQuota[[#This Row],[Sep]:[Feb]])</f>
        <v>1</v>
      </c>
      <c r="G915" s="11">
        <f>DistMeetingQuota[[#This Row],[Quota]]-DistMeetingQuota[[#This Row],[Actual]]</f>
        <v>1</v>
      </c>
      <c r="H915" s="49">
        <f>DistMeetingQuota[[#This Row],[Actual]]/DistMeetingQuota[[#This Row],[Quota]]</f>
        <v>0.5</v>
      </c>
      <c r="I915" s="4"/>
      <c r="J915" s="2"/>
      <c r="K915" s="2"/>
      <c r="L915" s="2"/>
      <c r="M915" s="2">
        <v>1</v>
      </c>
      <c r="N915" s="2"/>
      <c r="O915" s="2"/>
      <c r="P915" s="139" t="s">
        <v>6</v>
      </c>
      <c r="Q915" s="2"/>
    </row>
    <row r="916" spans="1:17" s="109" customFormat="1" ht="30">
      <c r="A916" s="4">
        <v>2240678</v>
      </c>
      <c r="B916" s="138" t="s">
        <v>824</v>
      </c>
      <c r="C916" s="4" t="s">
        <v>19</v>
      </c>
      <c r="D916" s="78" t="s">
        <v>11</v>
      </c>
      <c r="E916" s="53">
        <v>2</v>
      </c>
      <c r="F916" s="11">
        <f>SUM(DistMeetingQuota[[#This Row],[Sep]:[Feb]])</f>
        <v>0</v>
      </c>
      <c r="G916" s="11">
        <f>DistMeetingQuota[[#This Row],[Quota]]-DistMeetingQuota[[#This Row],[Actual]]</f>
        <v>2</v>
      </c>
      <c r="H916" s="49">
        <f>DistMeetingQuota[[#This Row],[Actual]]/DistMeetingQuota[[#This Row],[Quota]]</f>
        <v>0</v>
      </c>
      <c r="I916" s="4"/>
      <c r="J916" s="2"/>
      <c r="K916" s="2"/>
      <c r="L916" s="2"/>
      <c r="M916" s="2"/>
      <c r="N916" s="2"/>
      <c r="O916" s="2"/>
      <c r="P916" s="139" t="s">
        <v>6</v>
      </c>
      <c r="Q916" s="2"/>
    </row>
    <row r="917" spans="1:17" s="109" customFormat="1" ht="30">
      <c r="A917" s="4">
        <v>2257701</v>
      </c>
      <c r="B917" s="138" t="s">
        <v>825</v>
      </c>
      <c r="C917" s="4" t="s">
        <v>19</v>
      </c>
      <c r="D917" s="78" t="s">
        <v>5</v>
      </c>
      <c r="E917" s="53">
        <v>24</v>
      </c>
      <c r="F917" s="11">
        <f>SUM(DistMeetingQuota[[#This Row],[Sep]:[Feb]])</f>
        <v>4</v>
      </c>
      <c r="G917" s="11">
        <f>DistMeetingQuota[[#This Row],[Quota]]-DistMeetingQuota[[#This Row],[Actual]]</f>
        <v>20</v>
      </c>
      <c r="H917" s="49">
        <f>DistMeetingQuota[[#This Row],[Actual]]/DistMeetingQuota[[#This Row],[Quota]]</f>
        <v>0.16666666666666666</v>
      </c>
      <c r="I917" s="4"/>
      <c r="J917" s="2"/>
      <c r="K917" s="2"/>
      <c r="L917" s="2"/>
      <c r="M917" s="2">
        <v>4</v>
      </c>
      <c r="N917" s="2"/>
      <c r="O917" s="2"/>
      <c r="P917" s="139" t="s">
        <v>6</v>
      </c>
      <c r="Q917" s="2"/>
    </row>
    <row r="918" spans="1:17" s="109" customFormat="1" ht="30">
      <c r="A918" s="4">
        <v>2257701</v>
      </c>
      <c r="B918" s="138" t="s">
        <v>825</v>
      </c>
      <c r="C918" s="4" t="s">
        <v>19</v>
      </c>
      <c r="D918" s="78" t="s">
        <v>11</v>
      </c>
      <c r="E918" s="53">
        <v>2</v>
      </c>
      <c r="F918" s="11">
        <f>SUM(DistMeetingQuota[[#This Row],[Sep]:[Feb]])</f>
        <v>2</v>
      </c>
      <c r="G918" s="11">
        <f>DistMeetingQuota[[#This Row],[Quota]]-DistMeetingQuota[[#This Row],[Actual]]</f>
        <v>0</v>
      </c>
      <c r="H918" s="49">
        <f>DistMeetingQuota[[#This Row],[Actual]]/DistMeetingQuota[[#This Row],[Quota]]</f>
        <v>1</v>
      </c>
      <c r="I918" s="4"/>
      <c r="J918" s="2"/>
      <c r="K918" s="2">
        <v>1</v>
      </c>
      <c r="L918" s="2">
        <v>1</v>
      </c>
      <c r="M918" s="2"/>
      <c r="N918" s="2"/>
      <c r="O918" s="2"/>
      <c r="P918" s="139" t="s">
        <v>6</v>
      </c>
      <c r="Q918" s="2"/>
    </row>
    <row r="919" spans="1:17" s="109" customFormat="1" ht="30">
      <c r="A919" s="4">
        <v>2388714</v>
      </c>
      <c r="B919" s="138" t="s">
        <v>826</v>
      </c>
      <c r="C919" s="4" t="s">
        <v>19</v>
      </c>
      <c r="D919" s="78" t="s">
        <v>11</v>
      </c>
      <c r="E919" s="53">
        <v>2</v>
      </c>
      <c r="F919" s="11">
        <f>SUM(DistMeetingQuota[[#This Row],[Sep]:[Feb]])</f>
        <v>0</v>
      </c>
      <c r="G919" s="11">
        <f>DistMeetingQuota[[#This Row],[Quota]]-DistMeetingQuota[[#This Row],[Actual]]</f>
        <v>2</v>
      </c>
      <c r="H919" s="49">
        <f>DistMeetingQuota[[#This Row],[Actual]]/DistMeetingQuota[[#This Row],[Quota]]</f>
        <v>0</v>
      </c>
      <c r="I919" s="4"/>
      <c r="J919" s="2"/>
      <c r="K919" s="2"/>
      <c r="L919" s="2"/>
      <c r="M919" s="2"/>
      <c r="N919" s="2"/>
      <c r="O919" s="2"/>
      <c r="P919" s="139" t="s">
        <v>14</v>
      </c>
      <c r="Q919" s="2"/>
    </row>
    <row r="920" spans="1:17" s="109" customFormat="1">
      <c r="A920" s="247">
        <v>2362784</v>
      </c>
      <c r="B920" s="248" t="s">
        <v>827</v>
      </c>
      <c r="C920" s="247" t="s">
        <v>19</v>
      </c>
      <c r="D920" s="249" t="s">
        <v>11</v>
      </c>
      <c r="E920" s="250">
        <v>2</v>
      </c>
      <c r="F920" s="251">
        <f>SUM(DistMeetingQuota[[#This Row],[Sep]:[Feb]])</f>
        <v>0</v>
      </c>
      <c r="G920" s="251">
        <f>DistMeetingQuota[[#This Row],[Quota]]-DistMeetingQuota[[#This Row],[Actual]]</f>
        <v>2</v>
      </c>
      <c r="H920" s="252">
        <f>DistMeetingQuota[[#This Row],[Actual]]/DistMeetingQuota[[#This Row],[Quota]]</f>
        <v>0</v>
      </c>
      <c r="I920" s="247"/>
      <c r="J920" s="253"/>
      <c r="K920" s="253"/>
      <c r="L920" s="253"/>
      <c r="M920" s="253"/>
      <c r="N920" s="253"/>
      <c r="O920" s="253"/>
      <c r="P920" s="254" t="s">
        <v>10</v>
      </c>
      <c r="Q920" s="253"/>
    </row>
    <row r="921" spans="1:17" s="109" customFormat="1">
      <c r="A921" s="4">
        <v>2180589</v>
      </c>
      <c r="B921" s="138" t="s">
        <v>828</v>
      </c>
      <c r="C921" s="4" t="s">
        <v>19</v>
      </c>
      <c r="D921" s="78" t="s">
        <v>5</v>
      </c>
      <c r="E921" s="53">
        <v>24</v>
      </c>
      <c r="F921" s="11">
        <f>SUM(DistMeetingQuota[[#This Row],[Sep]:[Feb]])</f>
        <v>12</v>
      </c>
      <c r="G921" s="11">
        <f>DistMeetingQuota[[#This Row],[Quota]]-DistMeetingQuota[[#This Row],[Actual]]</f>
        <v>12</v>
      </c>
      <c r="H921" s="49">
        <f>DistMeetingQuota[[#This Row],[Actual]]/DistMeetingQuota[[#This Row],[Quota]]</f>
        <v>0.5</v>
      </c>
      <c r="I921" s="4">
        <v>4</v>
      </c>
      <c r="J921" s="2">
        <v>4</v>
      </c>
      <c r="K921" s="2"/>
      <c r="L921" s="2"/>
      <c r="M921" s="2"/>
      <c r="N921" s="2">
        <v>4</v>
      </c>
      <c r="O921" s="2"/>
      <c r="P921" s="139" t="s">
        <v>4</v>
      </c>
      <c r="Q921" s="2"/>
    </row>
    <row r="922" spans="1:17" s="109" customFormat="1">
      <c r="A922" s="4">
        <v>2180589</v>
      </c>
      <c r="B922" s="138" t="s">
        <v>828</v>
      </c>
      <c r="C922" s="4" t="s">
        <v>19</v>
      </c>
      <c r="D922" s="78" t="s">
        <v>11</v>
      </c>
      <c r="E922" s="53">
        <v>2</v>
      </c>
      <c r="F922" s="11">
        <f>SUM(DistMeetingQuota[[#This Row],[Sep]:[Feb]])</f>
        <v>2</v>
      </c>
      <c r="G922" s="11">
        <f>DistMeetingQuota[[#This Row],[Quota]]-DistMeetingQuota[[#This Row],[Actual]]</f>
        <v>0</v>
      </c>
      <c r="H922" s="49">
        <f>DistMeetingQuota[[#This Row],[Actual]]/DistMeetingQuota[[#This Row],[Quota]]</f>
        <v>1</v>
      </c>
      <c r="I922" s="4">
        <v>1</v>
      </c>
      <c r="J922" s="2"/>
      <c r="K922" s="2"/>
      <c r="L922" s="2"/>
      <c r="M922" s="2">
        <v>1</v>
      </c>
      <c r="N922" s="2"/>
      <c r="O922" s="2"/>
      <c r="P922" s="139" t="s">
        <v>4</v>
      </c>
      <c r="Q922" s="2"/>
    </row>
    <row r="923" spans="1:17" s="109" customFormat="1" ht="30">
      <c r="A923" s="255">
        <v>2497977</v>
      </c>
      <c r="B923" s="256" t="s">
        <v>829</v>
      </c>
      <c r="C923" s="255" t="s">
        <v>19</v>
      </c>
      <c r="D923" s="257" t="s">
        <v>11</v>
      </c>
      <c r="E923" s="258">
        <v>2</v>
      </c>
      <c r="F923" s="259">
        <f>SUM(DistMeetingQuota[[#This Row],[Sep]:[Feb]])</f>
        <v>0</v>
      </c>
      <c r="G923" s="259">
        <f>DistMeetingQuota[[#This Row],[Quota]]-DistMeetingQuota[[#This Row],[Actual]]</f>
        <v>2</v>
      </c>
      <c r="H923" s="260">
        <f>DistMeetingQuota[[#This Row],[Actual]]/DistMeetingQuota[[#This Row],[Quota]]</f>
        <v>0</v>
      </c>
      <c r="I923" s="255"/>
      <c r="J923" s="261"/>
      <c r="K923" s="261"/>
      <c r="L923" s="261"/>
      <c r="M923" s="261"/>
      <c r="N923" s="261"/>
      <c r="O923" s="261"/>
      <c r="P923" s="262" t="s">
        <v>10</v>
      </c>
      <c r="Q923" s="261"/>
    </row>
    <row r="924" spans="1:17" s="109" customFormat="1" ht="30">
      <c r="A924" s="255">
        <v>2203396</v>
      </c>
      <c r="B924" s="256" t="s">
        <v>830</v>
      </c>
      <c r="C924" s="255" t="s">
        <v>19</v>
      </c>
      <c r="D924" s="257" t="s">
        <v>11</v>
      </c>
      <c r="E924" s="258">
        <v>2</v>
      </c>
      <c r="F924" s="259">
        <f>SUM(DistMeetingQuota[[#This Row],[Sep]:[Feb]])</f>
        <v>2</v>
      </c>
      <c r="G924" s="259">
        <f>DistMeetingQuota[[#This Row],[Quota]]-DistMeetingQuota[[#This Row],[Actual]]</f>
        <v>0</v>
      </c>
      <c r="H924" s="260">
        <f>DistMeetingQuota[[#This Row],[Actual]]/DistMeetingQuota[[#This Row],[Quota]]</f>
        <v>1</v>
      </c>
      <c r="I924" s="255"/>
      <c r="J924" s="261"/>
      <c r="K924" s="261">
        <v>1</v>
      </c>
      <c r="L924" s="261">
        <v>1</v>
      </c>
      <c r="M924" s="261"/>
      <c r="N924" s="261"/>
      <c r="O924" s="261"/>
      <c r="P924" s="262" t="s">
        <v>10</v>
      </c>
      <c r="Q924" s="261"/>
    </row>
    <row r="925" spans="1:17" s="109" customFormat="1">
      <c r="A925" s="4">
        <v>2506972</v>
      </c>
      <c r="B925" s="138" t="s">
        <v>837</v>
      </c>
      <c r="C925" s="4" t="s">
        <v>19</v>
      </c>
      <c r="D925" s="78" t="s">
        <v>5</v>
      </c>
      <c r="E925" s="53">
        <v>24</v>
      </c>
      <c r="F925" s="11">
        <f>SUM(DistMeetingQuota[[#This Row],[Sep]:[Feb]])</f>
        <v>20</v>
      </c>
      <c r="G925" s="11">
        <f>DistMeetingQuota[[#This Row],[Quota]]-DistMeetingQuota[[#This Row],[Actual]]</f>
        <v>4</v>
      </c>
      <c r="H925" s="49">
        <f>DistMeetingQuota[[#This Row],[Actual]]/DistMeetingQuota[[#This Row],[Quota]]</f>
        <v>0.83333333333333337</v>
      </c>
      <c r="I925" s="4">
        <v>4</v>
      </c>
      <c r="J925" s="2">
        <v>4</v>
      </c>
      <c r="K925" s="2">
        <v>4</v>
      </c>
      <c r="L925" s="2">
        <v>4</v>
      </c>
      <c r="M925" s="2">
        <v>4</v>
      </c>
      <c r="N925" s="2"/>
      <c r="O925" s="2"/>
      <c r="P925" s="139" t="s">
        <v>736</v>
      </c>
      <c r="Q925" s="2"/>
    </row>
    <row r="926" spans="1:17" s="109" customFormat="1" ht="30">
      <c r="A926" s="263">
        <v>2032482</v>
      </c>
      <c r="B926" s="264" t="s">
        <v>831</v>
      </c>
      <c r="C926" s="263" t="s">
        <v>19</v>
      </c>
      <c r="D926" s="265" t="s">
        <v>11</v>
      </c>
      <c r="E926" s="266">
        <v>2</v>
      </c>
      <c r="F926" s="267">
        <f>SUM(DistMeetingQuota[[#This Row],[Sep]:[Feb]])</f>
        <v>2</v>
      </c>
      <c r="G926" s="267">
        <f>DistMeetingQuota[[#This Row],[Quota]]-DistMeetingQuota[[#This Row],[Actual]]</f>
        <v>0</v>
      </c>
      <c r="H926" s="268">
        <f>DistMeetingQuota[[#This Row],[Actual]]/DistMeetingQuota[[#This Row],[Quota]]</f>
        <v>1</v>
      </c>
      <c r="I926" s="263"/>
      <c r="J926" s="269"/>
      <c r="K926" s="269">
        <v>1</v>
      </c>
      <c r="L926" s="269">
        <v>1</v>
      </c>
      <c r="M926" s="269"/>
      <c r="N926" s="269"/>
      <c r="O926" s="269"/>
      <c r="P926" s="270" t="s">
        <v>6</v>
      </c>
      <c r="Q926" s="269"/>
    </row>
    <row r="927" spans="1:17" s="109" customFormat="1" ht="30">
      <c r="A927" s="4">
        <v>2203847</v>
      </c>
      <c r="B927" s="138" t="s">
        <v>832</v>
      </c>
      <c r="C927" s="4" t="s">
        <v>19</v>
      </c>
      <c r="D927" s="78" t="s">
        <v>5</v>
      </c>
      <c r="E927" s="53">
        <v>24</v>
      </c>
      <c r="F927" s="11">
        <f>SUM(DistMeetingQuota[[#This Row],[Sep]:[Feb]])</f>
        <v>5</v>
      </c>
      <c r="G927" s="11">
        <f>DistMeetingQuota[[#This Row],[Quota]]-DistMeetingQuota[[#This Row],[Actual]]</f>
        <v>19</v>
      </c>
      <c r="H927" s="49">
        <f>DistMeetingQuota[[#This Row],[Actual]]/DistMeetingQuota[[#This Row],[Quota]]</f>
        <v>0.20833333333333334</v>
      </c>
      <c r="I927" s="4"/>
      <c r="J927" s="2">
        <v>1</v>
      </c>
      <c r="K927" s="2">
        <v>1</v>
      </c>
      <c r="L927" s="2">
        <v>1</v>
      </c>
      <c r="M927" s="2">
        <v>1</v>
      </c>
      <c r="N927" s="2">
        <v>1</v>
      </c>
      <c r="O927" s="2"/>
      <c r="P927" s="139" t="s">
        <v>708</v>
      </c>
      <c r="Q927" s="2"/>
    </row>
    <row r="928" spans="1:17" s="109" customFormat="1" ht="30">
      <c r="A928" s="4">
        <v>2203847</v>
      </c>
      <c r="B928" s="138" t="s">
        <v>832</v>
      </c>
      <c r="C928" s="4" t="s">
        <v>19</v>
      </c>
      <c r="D928" s="78" t="s">
        <v>11</v>
      </c>
      <c r="E928" s="53">
        <v>2</v>
      </c>
      <c r="F928" s="11">
        <f>SUM(DistMeetingQuota[[#This Row],[Sep]:[Feb]])</f>
        <v>1</v>
      </c>
      <c r="G928" s="11">
        <f>DistMeetingQuota[[#This Row],[Quota]]-DistMeetingQuota[[#This Row],[Actual]]</f>
        <v>1</v>
      </c>
      <c r="H928" s="49">
        <f>DistMeetingQuota[[#This Row],[Actual]]/DistMeetingQuota[[#This Row],[Quota]]</f>
        <v>0.5</v>
      </c>
      <c r="I928" s="4"/>
      <c r="J928" s="2">
        <v>1</v>
      </c>
      <c r="K928" s="2"/>
      <c r="L928" s="2"/>
      <c r="M928" s="2"/>
      <c r="N928" s="2"/>
      <c r="O928" s="2"/>
      <c r="P928" s="139" t="s">
        <v>708</v>
      </c>
      <c r="Q928" s="2"/>
    </row>
    <row r="929" spans="1:17" s="109" customFormat="1" ht="30">
      <c r="A929" s="4">
        <v>2473312</v>
      </c>
      <c r="B929" s="138" t="s">
        <v>833</v>
      </c>
      <c r="C929" s="4" t="s">
        <v>19</v>
      </c>
      <c r="D929" s="78" t="s">
        <v>5</v>
      </c>
      <c r="E929" s="53">
        <v>24</v>
      </c>
      <c r="F929" s="11">
        <f>SUM(DistMeetingQuota[[#This Row],[Sep]:[Feb]])</f>
        <v>24</v>
      </c>
      <c r="G929" s="11">
        <f>DistMeetingQuota[[#This Row],[Quota]]-DistMeetingQuota[[#This Row],[Actual]]</f>
        <v>0</v>
      </c>
      <c r="H929" s="49">
        <f>DistMeetingQuota[[#This Row],[Actual]]/DistMeetingQuota[[#This Row],[Quota]]</f>
        <v>1</v>
      </c>
      <c r="I929" s="4">
        <v>4</v>
      </c>
      <c r="J929" s="2">
        <v>4</v>
      </c>
      <c r="K929" s="2">
        <v>4</v>
      </c>
      <c r="L929" s="2">
        <v>4</v>
      </c>
      <c r="M929" s="2">
        <v>4</v>
      </c>
      <c r="N929" s="2">
        <v>4</v>
      </c>
      <c r="O929" s="2"/>
      <c r="P929" s="139" t="s">
        <v>491</v>
      </c>
      <c r="Q929" s="2"/>
    </row>
    <row r="930" spans="1:17" s="109" customFormat="1" ht="30">
      <c r="A930" s="4">
        <v>2473312</v>
      </c>
      <c r="B930" s="138" t="s">
        <v>833</v>
      </c>
      <c r="C930" s="4" t="s">
        <v>19</v>
      </c>
      <c r="D930" s="78" t="s">
        <v>11</v>
      </c>
      <c r="E930" s="53">
        <v>2</v>
      </c>
      <c r="F930" s="11">
        <f>SUM(DistMeetingQuota[[#This Row],[Sep]:[Feb]])</f>
        <v>2</v>
      </c>
      <c r="G930" s="11">
        <f>DistMeetingQuota[[#This Row],[Quota]]-DistMeetingQuota[[#This Row],[Actual]]</f>
        <v>0</v>
      </c>
      <c r="H930" s="49">
        <f>DistMeetingQuota[[#This Row],[Actual]]/DistMeetingQuota[[#This Row],[Quota]]</f>
        <v>1</v>
      </c>
      <c r="I930" s="4"/>
      <c r="J930" s="2"/>
      <c r="K930" s="2"/>
      <c r="L930" s="2">
        <v>1</v>
      </c>
      <c r="M930" s="2">
        <v>1</v>
      </c>
      <c r="N930" s="2"/>
      <c r="O930" s="2"/>
      <c r="P930" s="139" t="s">
        <v>491</v>
      </c>
      <c r="Q930" s="2"/>
    </row>
    <row r="931" spans="1:17" s="109" customFormat="1" ht="30">
      <c r="A931" s="271">
        <v>2450464</v>
      </c>
      <c r="B931" s="272" t="s">
        <v>834</v>
      </c>
      <c r="C931" s="271" t="s">
        <v>19</v>
      </c>
      <c r="D931" s="273" t="s">
        <v>5</v>
      </c>
      <c r="E931" s="274">
        <v>24</v>
      </c>
      <c r="F931" s="275">
        <f>SUM(DistMeetingQuota[[#This Row],[Sep]:[Feb]])</f>
        <v>12</v>
      </c>
      <c r="G931" s="275">
        <f>DistMeetingQuota[[#This Row],[Quota]]-DistMeetingQuota[[#This Row],[Actual]]</f>
        <v>12</v>
      </c>
      <c r="H931" s="276">
        <f>DistMeetingQuota[[#This Row],[Actual]]/DistMeetingQuota[[#This Row],[Quota]]</f>
        <v>0.5</v>
      </c>
      <c r="I931" s="271">
        <v>3</v>
      </c>
      <c r="J931" s="277"/>
      <c r="K931" s="277">
        <v>3</v>
      </c>
      <c r="L931" s="277">
        <v>3</v>
      </c>
      <c r="M931" s="277">
        <v>3</v>
      </c>
      <c r="N931" s="277"/>
      <c r="O931" s="277"/>
      <c r="P931" s="139" t="s">
        <v>789</v>
      </c>
      <c r="Q931" s="277"/>
    </row>
    <row r="932" spans="1:17" s="109" customFormat="1" ht="30">
      <c r="A932" s="4">
        <v>2372888</v>
      </c>
      <c r="B932" s="138" t="s">
        <v>835</v>
      </c>
      <c r="C932" s="4" t="s">
        <v>19</v>
      </c>
      <c r="D932" s="78" t="s">
        <v>5</v>
      </c>
      <c r="E932" s="53">
        <v>24</v>
      </c>
      <c r="F932" s="11">
        <f>SUM(DistMeetingQuota[[#This Row],[Sep]:[Feb]])</f>
        <v>24</v>
      </c>
      <c r="G932" s="11">
        <f>DistMeetingQuota[[#This Row],[Quota]]-DistMeetingQuota[[#This Row],[Actual]]</f>
        <v>0</v>
      </c>
      <c r="H932" s="49">
        <f>DistMeetingQuota[[#This Row],[Actual]]/DistMeetingQuota[[#This Row],[Quota]]</f>
        <v>1</v>
      </c>
      <c r="I932" s="4">
        <v>4</v>
      </c>
      <c r="J932" s="2">
        <v>4</v>
      </c>
      <c r="K932" s="2">
        <v>4</v>
      </c>
      <c r="L932" s="2">
        <v>4</v>
      </c>
      <c r="M932" s="2">
        <v>4</v>
      </c>
      <c r="N932" s="2">
        <v>4</v>
      </c>
      <c r="O932" s="2"/>
      <c r="P932" s="139" t="s">
        <v>491</v>
      </c>
      <c r="Q932" s="2"/>
    </row>
    <row r="933" spans="1:17" s="109" customFormat="1" ht="30">
      <c r="A933" s="4">
        <v>2372888</v>
      </c>
      <c r="B933" s="138" t="s">
        <v>835</v>
      </c>
      <c r="C933" s="4" t="s">
        <v>19</v>
      </c>
      <c r="D933" s="78" t="s">
        <v>11</v>
      </c>
      <c r="E933" s="53">
        <v>2</v>
      </c>
      <c r="F933" s="11">
        <f>SUM(DistMeetingQuota[[#This Row],[Sep]:[Feb]])</f>
        <v>2</v>
      </c>
      <c r="G933" s="11">
        <f>DistMeetingQuota[[#This Row],[Quota]]-DistMeetingQuota[[#This Row],[Actual]]</f>
        <v>0</v>
      </c>
      <c r="H933" s="49">
        <f>DistMeetingQuota[[#This Row],[Actual]]/DistMeetingQuota[[#This Row],[Quota]]</f>
        <v>1</v>
      </c>
      <c r="I933" s="4"/>
      <c r="J933" s="2"/>
      <c r="K933" s="2"/>
      <c r="L933" s="2">
        <v>1</v>
      </c>
      <c r="M933" s="2">
        <v>1</v>
      </c>
      <c r="N933" s="2"/>
      <c r="O933" s="2"/>
      <c r="P933" s="139" t="s">
        <v>491</v>
      </c>
      <c r="Q933" s="2"/>
    </row>
    <row r="934" spans="1:17" s="109" customFormat="1" ht="30">
      <c r="A934" s="4">
        <v>2473084</v>
      </c>
      <c r="B934" s="138" t="s">
        <v>836</v>
      </c>
      <c r="C934" s="4" t="s">
        <v>19</v>
      </c>
      <c r="D934" s="78" t="s">
        <v>5</v>
      </c>
      <c r="E934" s="53">
        <v>24</v>
      </c>
      <c r="F934" s="11">
        <f>SUM(DistMeetingQuota[[#This Row],[Sep]:[Feb]])</f>
        <v>24</v>
      </c>
      <c r="G934" s="11">
        <f>DistMeetingQuota[[#This Row],[Quota]]-DistMeetingQuota[[#This Row],[Actual]]</f>
        <v>0</v>
      </c>
      <c r="H934" s="49">
        <f>DistMeetingQuota[[#This Row],[Actual]]/DistMeetingQuota[[#This Row],[Quota]]</f>
        <v>1</v>
      </c>
      <c r="I934" s="4">
        <v>4</v>
      </c>
      <c r="J934" s="2">
        <v>4</v>
      </c>
      <c r="K934" s="2"/>
      <c r="L934" s="2">
        <v>8</v>
      </c>
      <c r="M934" s="2">
        <v>4</v>
      </c>
      <c r="N934" s="2">
        <v>4</v>
      </c>
      <c r="O934" s="2"/>
      <c r="P934" s="139" t="s">
        <v>491</v>
      </c>
      <c r="Q934" s="2"/>
    </row>
    <row r="935" spans="1:17" s="109" customFormat="1" ht="30">
      <c r="A935" s="4">
        <v>2473084</v>
      </c>
      <c r="B935" s="138" t="s">
        <v>836</v>
      </c>
      <c r="C935" s="4" t="s">
        <v>19</v>
      </c>
      <c r="D935" s="78" t="s">
        <v>11</v>
      </c>
      <c r="E935" s="53">
        <v>2</v>
      </c>
      <c r="F935" s="11">
        <f>SUM(DistMeetingQuota[[#This Row],[Sep]:[Feb]])</f>
        <v>2</v>
      </c>
      <c r="G935" s="11">
        <f>DistMeetingQuota[[#This Row],[Quota]]-DistMeetingQuota[[#This Row],[Actual]]</f>
        <v>0</v>
      </c>
      <c r="H935" s="49">
        <f>DistMeetingQuota[[#This Row],[Actual]]/DistMeetingQuota[[#This Row],[Quota]]</f>
        <v>1</v>
      </c>
      <c r="I935" s="4"/>
      <c r="J935" s="2"/>
      <c r="K935" s="2"/>
      <c r="L935" s="2">
        <v>1</v>
      </c>
      <c r="M935" s="2">
        <v>1</v>
      </c>
      <c r="N935" s="2"/>
      <c r="O935" s="2"/>
      <c r="P935" s="139" t="s">
        <v>491</v>
      </c>
      <c r="Q935" s="2"/>
    </row>
    <row r="936" spans="1:17" s="109" customFormat="1">
      <c r="A936" s="147">
        <v>2040346</v>
      </c>
      <c r="B936" s="148" t="s">
        <v>838</v>
      </c>
      <c r="C936" s="147" t="s">
        <v>19</v>
      </c>
      <c r="D936" s="149" t="s">
        <v>5</v>
      </c>
      <c r="E936" s="150">
        <v>24</v>
      </c>
      <c r="F936" s="157">
        <f>SUM(DistMeetingQuota[[#This Row],[Sep]:[Feb]])</f>
        <v>0</v>
      </c>
      <c r="G936" s="157">
        <f>DistMeetingQuota[[#This Row],[Quota]]-DistMeetingQuota[[#This Row],[Actual]]</f>
        <v>24</v>
      </c>
      <c r="H936" s="158">
        <f>DistMeetingQuota[[#This Row],[Actual]]/DistMeetingQuota[[#This Row],[Quota]]</f>
        <v>0</v>
      </c>
      <c r="I936" s="147"/>
      <c r="J936" s="152"/>
      <c r="K936" s="152"/>
      <c r="L936" s="152"/>
      <c r="M936" s="152"/>
      <c r="N936" s="152"/>
      <c r="O936" s="152"/>
      <c r="P936" s="246" t="s">
        <v>10</v>
      </c>
      <c r="Q936" s="152"/>
    </row>
    <row r="937" spans="1:17" s="109" customFormat="1">
      <c r="A937" s="4">
        <v>2513588</v>
      </c>
      <c r="B937" s="138" t="s">
        <v>839</v>
      </c>
      <c r="C937" s="4" t="s">
        <v>19</v>
      </c>
      <c r="D937" s="78" t="s">
        <v>11</v>
      </c>
      <c r="E937" s="53">
        <v>2</v>
      </c>
      <c r="F937" s="11">
        <f>SUM(DistMeetingQuota[[#This Row],[Sep]:[Feb]])</f>
        <v>0</v>
      </c>
      <c r="G937" s="11">
        <f>DistMeetingQuota[[#This Row],[Quota]]-DistMeetingQuota[[#This Row],[Actual]]</f>
        <v>2</v>
      </c>
      <c r="H937" s="49">
        <f>DistMeetingQuota[[#This Row],[Actual]]/DistMeetingQuota[[#This Row],[Quota]]</f>
        <v>0</v>
      </c>
      <c r="I937" s="4"/>
      <c r="J937" s="2"/>
      <c r="K937" s="2"/>
      <c r="L937" s="2"/>
      <c r="M937" s="2"/>
      <c r="N937" s="2"/>
      <c r="O937" s="2"/>
      <c r="P937" s="139" t="s">
        <v>62</v>
      </c>
      <c r="Q937" s="2"/>
    </row>
    <row r="938" spans="1:17" s="109" customFormat="1">
      <c r="A938" s="4">
        <v>2432527</v>
      </c>
      <c r="B938" s="138" t="s">
        <v>841</v>
      </c>
      <c r="C938" s="4" t="s">
        <v>19</v>
      </c>
      <c r="D938" s="78" t="s">
        <v>5</v>
      </c>
      <c r="E938" s="53">
        <v>24</v>
      </c>
      <c r="F938" s="11">
        <f>SUM(DistMeetingQuota[[#This Row],[Sep]:[Feb]])</f>
        <v>1</v>
      </c>
      <c r="G938" s="11">
        <f>DistMeetingQuota[[#This Row],[Quota]]-DistMeetingQuota[[#This Row],[Actual]]</f>
        <v>23</v>
      </c>
      <c r="H938" s="49">
        <f>DistMeetingQuota[[#This Row],[Actual]]/DistMeetingQuota[[#This Row],[Quota]]</f>
        <v>4.1666666666666664E-2</v>
      </c>
      <c r="I938" s="4">
        <v>1</v>
      </c>
      <c r="J938" s="2"/>
      <c r="K938" s="2"/>
      <c r="L938" s="2"/>
      <c r="M938" s="2"/>
      <c r="N938" s="2"/>
      <c r="O938" s="2"/>
      <c r="P938" s="139" t="s">
        <v>471</v>
      </c>
      <c r="Q938" s="2"/>
    </row>
    <row r="939" spans="1:17" s="109" customFormat="1" ht="30">
      <c r="A939" s="4">
        <v>2131968</v>
      </c>
      <c r="B939" s="138" t="s">
        <v>842</v>
      </c>
      <c r="C939" s="4" t="s">
        <v>19</v>
      </c>
      <c r="D939" s="78" t="s">
        <v>11</v>
      </c>
      <c r="E939" s="53">
        <v>2</v>
      </c>
      <c r="F939" s="11">
        <f>SUM(DistMeetingQuota[[#This Row],[Sep]:[Feb]])</f>
        <v>2</v>
      </c>
      <c r="G939" s="11">
        <f>DistMeetingQuota[[#This Row],[Quota]]-DistMeetingQuota[[#This Row],[Actual]]</f>
        <v>0</v>
      </c>
      <c r="H939" s="49">
        <f>DistMeetingQuota[[#This Row],[Actual]]/DistMeetingQuota[[#This Row],[Quota]]</f>
        <v>1</v>
      </c>
      <c r="I939" s="4"/>
      <c r="J939" s="2"/>
      <c r="K939" s="2"/>
      <c r="L939" s="2"/>
      <c r="M939" s="2">
        <v>2</v>
      </c>
      <c r="N939" s="2"/>
      <c r="O939" s="2"/>
      <c r="P939" s="139" t="s">
        <v>57</v>
      </c>
      <c r="Q939" s="2"/>
    </row>
    <row r="940" spans="1:17" s="109" customFormat="1" ht="30">
      <c r="A940" s="4">
        <v>2109174</v>
      </c>
      <c r="B940" s="138" t="s">
        <v>342</v>
      </c>
      <c r="C940" s="4" t="s">
        <v>19</v>
      </c>
      <c r="D940" s="78" t="s">
        <v>11</v>
      </c>
      <c r="E940" s="53">
        <v>2</v>
      </c>
      <c r="F940" s="11">
        <f>SUM(DistMeetingQuota[[#This Row],[Sep]:[Feb]])</f>
        <v>0</v>
      </c>
      <c r="G940" s="11">
        <f>DistMeetingQuota[[#This Row],[Quota]]-DistMeetingQuota[[#This Row],[Actual]]</f>
        <v>2</v>
      </c>
      <c r="H940" s="49">
        <f>DistMeetingQuota[[#This Row],[Actual]]/DistMeetingQuota[[#This Row],[Quota]]</f>
        <v>0</v>
      </c>
      <c r="I940" s="4"/>
      <c r="J940" s="2"/>
      <c r="K940" s="2"/>
      <c r="L940" s="2"/>
      <c r="M940" s="2"/>
      <c r="N940" s="2"/>
      <c r="O940" s="2"/>
      <c r="P940" s="139" t="s">
        <v>6</v>
      </c>
      <c r="Q940" s="2"/>
    </row>
    <row r="941" spans="1:17" s="109" customFormat="1" ht="30">
      <c r="A941" s="4">
        <v>2311459</v>
      </c>
      <c r="B941" s="138" t="s">
        <v>844</v>
      </c>
      <c r="C941" s="4" t="s">
        <v>19</v>
      </c>
      <c r="D941" s="78" t="s">
        <v>5</v>
      </c>
      <c r="E941" s="53">
        <v>24</v>
      </c>
      <c r="F941" s="11">
        <f>SUM(DistMeetingQuota[[#This Row],[Sep]:[Feb]])</f>
        <v>6</v>
      </c>
      <c r="G941" s="11">
        <f>DistMeetingQuota[[#This Row],[Quota]]-DistMeetingQuota[[#This Row],[Actual]]</f>
        <v>18</v>
      </c>
      <c r="H941" s="49">
        <f>DistMeetingQuota[[#This Row],[Actual]]/DistMeetingQuota[[#This Row],[Quota]]</f>
        <v>0.25</v>
      </c>
      <c r="I941" s="4">
        <v>1</v>
      </c>
      <c r="J941" s="2"/>
      <c r="K941" s="2">
        <v>1</v>
      </c>
      <c r="L941" s="2">
        <v>2</v>
      </c>
      <c r="M941" s="2">
        <v>1</v>
      </c>
      <c r="N941" s="2">
        <v>1</v>
      </c>
      <c r="O941" s="2"/>
      <c r="P941" s="139" t="s">
        <v>67</v>
      </c>
      <c r="Q941" s="2"/>
    </row>
    <row r="942" spans="1:17" s="109" customFormat="1" ht="30">
      <c r="A942" s="292">
        <v>2452239</v>
      </c>
      <c r="B942" s="293" t="s">
        <v>849</v>
      </c>
      <c r="C942" s="292" t="s">
        <v>19</v>
      </c>
      <c r="D942" s="294" t="s">
        <v>11</v>
      </c>
      <c r="E942" s="295">
        <v>2</v>
      </c>
      <c r="F942" s="296">
        <f>SUM(DistMeetingQuota[[#This Row],[Sep]:[Feb]])</f>
        <v>2</v>
      </c>
      <c r="G942" s="296">
        <f>DistMeetingQuota[[#This Row],[Quota]]-DistMeetingQuota[[#This Row],[Actual]]</f>
        <v>0</v>
      </c>
      <c r="H942" s="297">
        <f>DistMeetingQuota[[#This Row],[Actual]]/DistMeetingQuota[[#This Row],[Quota]]</f>
        <v>1</v>
      </c>
      <c r="I942" s="292">
        <v>2</v>
      </c>
      <c r="J942" s="298"/>
      <c r="K942" s="298"/>
      <c r="L942" s="298"/>
      <c r="M942" s="298"/>
      <c r="N942" s="298"/>
      <c r="O942" s="298"/>
      <c r="P942" s="299" t="s">
        <v>10</v>
      </c>
      <c r="Q942" s="298"/>
    </row>
    <row r="943" spans="1:17" s="109" customFormat="1">
      <c r="A943" s="292">
        <v>2202993</v>
      </c>
      <c r="B943" s="293" t="s">
        <v>854</v>
      </c>
      <c r="C943" s="292" t="s">
        <v>19</v>
      </c>
      <c r="D943" s="294" t="s">
        <v>11</v>
      </c>
      <c r="E943" s="295">
        <v>2</v>
      </c>
      <c r="F943" s="296">
        <f>SUM(DistMeetingQuota[[#This Row],[Sep]:[Feb]])</f>
        <v>2</v>
      </c>
      <c r="G943" s="296">
        <f>DistMeetingQuota[[#This Row],[Quota]]-DistMeetingQuota[[#This Row],[Actual]]</f>
        <v>0</v>
      </c>
      <c r="H943" s="297">
        <f>DistMeetingQuota[[#This Row],[Actual]]/DistMeetingQuota[[#This Row],[Quota]]</f>
        <v>1</v>
      </c>
      <c r="I943" s="292">
        <v>1</v>
      </c>
      <c r="J943" s="298"/>
      <c r="K943" s="298"/>
      <c r="L943" s="298">
        <v>1</v>
      </c>
      <c r="M943" s="298"/>
      <c r="N943" s="298"/>
      <c r="O943" s="298"/>
      <c r="P943" s="299" t="s">
        <v>10</v>
      </c>
      <c r="Q943" s="298"/>
    </row>
    <row r="944" spans="1:17" s="109" customFormat="1" ht="30">
      <c r="A944" s="292">
        <v>2066384</v>
      </c>
      <c r="B944" s="293" t="s">
        <v>856</v>
      </c>
      <c r="C944" s="292" t="s">
        <v>19</v>
      </c>
      <c r="D944" s="294" t="s">
        <v>11</v>
      </c>
      <c r="E944" s="295">
        <v>2</v>
      </c>
      <c r="F944" s="296">
        <f>SUM(DistMeetingQuota[[#This Row],[Sep]:[Feb]])</f>
        <v>2</v>
      </c>
      <c r="G944" s="296">
        <f>DistMeetingQuota[[#This Row],[Quota]]-DistMeetingQuota[[#This Row],[Actual]]</f>
        <v>0</v>
      </c>
      <c r="H944" s="297">
        <f>DistMeetingQuota[[#This Row],[Actual]]/DistMeetingQuota[[#This Row],[Quota]]</f>
        <v>1</v>
      </c>
      <c r="I944" s="292">
        <v>2</v>
      </c>
      <c r="J944" s="298"/>
      <c r="K944" s="298"/>
      <c r="L944" s="298"/>
      <c r="M944" s="298"/>
      <c r="N944" s="298"/>
      <c r="O944" s="298"/>
      <c r="P944" s="299" t="s">
        <v>10</v>
      </c>
      <c r="Q944" s="298"/>
    </row>
    <row r="945" spans="1:17" s="109" customFormat="1" ht="30">
      <c r="A945" s="292">
        <v>2018498</v>
      </c>
      <c r="B945" s="293" t="s">
        <v>857</v>
      </c>
      <c r="C945" s="292" t="s">
        <v>19</v>
      </c>
      <c r="D945" s="294" t="s">
        <v>5</v>
      </c>
      <c r="E945" s="295">
        <v>24</v>
      </c>
      <c r="F945" s="296">
        <f>SUM(DistMeetingQuota[[#This Row],[Sep]:[Feb]])</f>
        <v>1</v>
      </c>
      <c r="G945" s="296">
        <f>DistMeetingQuota[[#This Row],[Quota]]-DistMeetingQuota[[#This Row],[Actual]]</f>
        <v>23</v>
      </c>
      <c r="H945" s="297">
        <f>DistMeetingQuota[[#This Row],[Actual]]/DistMeetingQuota[[#This Row],[Quota]]</f>
        <v>4.1666666666666664E-2</v>
      </c>
      <c r="I945" s="292"/>
      <c r="J945" s="298">
        <v>1</v>
      </c>
      <c r="K945" s="298"/>
      <c r="L945" s="298"/>
      <c r="M945" s="298"/>
      <c r="N945" s="298"/>
      <c r="O945" s="298"/>
      <c r="P945" s="299" t="s">
        <v>10</v>
      </c>
      <c r="Q945" s="298"/>
    </row>
    <row r="946" spans="1:17" s="109" customFormat="1" ht="30">
      <c r="A946" s="292">
        <v>2018498</v>
      </c>
      <c r="B946" s="293" t="s">
        <v>857</v>
      </c>
      <c r="C946" s="292" t="s">
        <v>19</v>
      </c>
      <c r="D946" s="294" t="s">
        <v>11</v>
      </c>
      <c r="E946" s="295">
        <v>2</v>
      </c>
      <c r="F946" s="296">
        <f>SUM(DistMeetingQuota[[#This Row],[Sep]:[Feb]])</f>
        <v>2</v>
      </c>
      <c r="G946" s="296">
        <f>DistMeetingQuota[[#This Row],[Quota]]-DistMeetingQuota[[#This Row],[Actual]]</f>
        <v>0</v>
      </c>
      <c r="H946" s="297">
        <f>DistMeetingQuota[[#This Row],[Actual]]/DistMeetingQuota[[#This Row],[Quota]]</f>
        <v>1</v>
      </c>
      <c r="I946" s="292">
        <v>2</v>
      </c>
      <c r="J946" s="298"/>
      <c r="K946" s="298"/>
      <c r="L946" s="298"/>
      <c r="M946" s="298"/>
      <c r="N946" s="298"/>
      <c r="O946" s="298"/>
      <c r="P946" s="299" t="s">
        <v>10</v>
      </c>
      <c r="Q946" s="298"/>
    </row>
    <row r="947" spans="1:17" s="109" customFormat="1" ht="30">
      <c r="A947" s="292">
        <v>2122193</v>
      </c>
      <c r="B947" s="293" t="s">
        <v>858</v>
      </c>
      <c r="C947" s="292" t="s">
        <v>19</v>
      </c>
      <c r="D947" s="294" t="s">
        <v>11</v>
      </c>
      <c r="E947" s="295">
        <v>2</v>
      </c>
      <c r="F947" s="296">
        <f>SUM(DistMeetingQuota[[#This Row],[Sep]:[Feb]])</f>
        <v>2</v>
      </c>
      <c r="G947" s="296">
        <f>DistMeetingQuota[[#This Row],[Quota]]-DistMeetingQuota[[#This Row],[Actual]]</f>
        <v>0</v>
      </c>
      <c r="H947" s="297">
        <f>DistMeetingQuota[[#This Row],[Actual]]/DistMeetingQuota[[#This Row],[Quota]]</f>
        <v>1</v>
      </c>
      <c r="I947" s="292">
        <v>2</v>
      </c>
      <c r="J947" s="298"/>
      <c r="K947" s="298"/>
      <c r="L947" s="298"/>
      <c r="M947" s="298"/>
      <c r="N947" s="298"/>
      <c r="O947" s="298"/>
      <c r="P947" s="299" t="s">
        <v>10</v>
      </c>
      <c r="Q947" s="298"/>
    </row>
    <row r="948" spans="1:17" s="109" customFormat="1" ht="45">
      <c r="A948" s="4">
        <v>2019937</v>
      </c>
      <c r="B948" s="138" t="s">
        <v>861</v>
      </c>
      <c r="C948" s="4" t="s">
        <v>19</v>
      </c>
      <c r="D948" s="78" t="s">
        <v>11</v>
      </c>
      <c r="E948" s="53">
        <v>2</v>
      </c>
      <c r="F948" s="11">
        <f>SUM(DistMeetingQuota[[#This Row],[Sep]:[Feb]])</f>
        <v>2</v>
      </c>
      <c r="G948" s="11">
        <f>DistMeetingQuota[[#This Row],[Quota]]-DistMeetingQuota[[#This Row],[Actual]]</f>
        <v>0</v>
      </c>
      <c r="H948" s="49">
        <f>DistMeetingQuota[[#This Row],[Actual]]/DistMeetingQuota[[#This Row],[Quota]]</f>
        <v>1</v>
      </c>
      <c r="I948" s="4">
        <v>2</v>
      </c>
      <c r="J948" s="2"/>
      <c r="K948" s="2"/>
      <c r="L948" s="2"/>
      <c r="M948" s="2"/>
      <c r="N948" s="2"/>
      <c r="O948" s="2"/>
      <c r="P948" s="139" t="s">
        <v>10</v>
      </c>
      <c r="Q948" s="2"/>
    </row>
    <row r="949" spans="1:17" s="109" customFormat="1" ht="30">
      <c r="A949" s="4">
        <v>2217863</v>
      </c>
      <c r="B949" s="138" t="s">
        <v>864</v>
      </c>
      <c r="C949" s="4" t="s">
        <v>19</v>
      </c>
      <c r="D949" s="78" t="s">
        <v>11</v>
      </c>
      <c r="E949" s="53">
        <v>2</v>
      </c>
      <c r="F949" s="11">
        <f>SUM(DistMeetingQuota[[#This Row],[Sep]:[Feb]])</f>
        <v>1</v>
      </c>
      <c r="G949" s="11">
        <f>DistMeetingQuota[[#This Row],[Quota]]-DistMeetingQuota[[#This Row],[Actual]]</f>
        <v>1</v>
      </c>
      <c r="H949" s="49">
        <f>DistMeetingQuota[[#This Row],[Actual]]/DistMeetingQuota[[#This Row],[Quota]]</f>
        <v>0.5</v>
      </c>
      <c r="I949" s="4">
        <v>1</v>
      </c>
      <c r="J949" s="2"/>
      <c r="K949" s="2"/>
      <c r="L949" s="2"/>
      <c r="M949" s="2"/>
      <c r="N949" s="2"/>
      <c r="O949" s="2"/>
      <c r="P949" s="139" t="s">
        <v>14</v>
      </c>
      <c r="Q949" s="2"/>
    </row>
    <row r="950" spans="1:17" s="109" customFormat="1" ht="30">
      <c r="A950" s="4">
        <v>2257004</v>
      </c>
      <c r="B950" s="138" t="s">
        <v>843</v>
      </c>
      <c r="C950" s="4" t="s">
        <v>19</v>
      </c>
      <c r="D950" s="78" t="s">
        <v>5</v>
      </c>
      <c r="E950" s="53">
        <v>24</v>
      </c>
      <c r="F950" s="11">
        <f>SUM(DistMeetingQuota[[#This Row],[Sep]:[Feb]])</f>
        <v>2</v>
      </c>
      <c r="G950" s="11">
        <f>DistMeetingQuota[[#This Row],[Quota]]-DistMeetingQuota[[#This Row],[Actual]]</f>
        <v>22</v>
      </c>
      <c r="H950" s="49">
        <f>DistMeetingQuota[[#This Row],[Actual]]/DistMeetingQuota[[#This Row],[Quota]]</f>
        <v>8.3333333333333329E-2</v>
      </c>
      <c r="I950" s="4">
        <v>2</v>
      </c>
      <c r="J950" s="2"/>
      <c r="K950" s="2"/>
      <c r="L950" s="2"/>
      <c r="M950" s="2"/>
      <c r="N950" s="2"/>
      <c r="O950" s="2"/>
      <c r="P950" s="139" t="s">
        <v>67</v>
      </c>
      <c r="Q950" s="2"/>
    </row>
    <row r="951" spans="1:17" s="109" customFormat="1">
      <c r="A951" s="4">
        <v>2040346</v>
      </c>
      <c r="B951" s="138" t="s">
        <v>838</v>
      </c>
      <c r="C951" s="4" t="s">
        <v>19</v>
      </c>
      <c r="D951" s="78" t="s">
        <v>11</v>
      </c>
      <c r="E951" s="53">
        <v>2</v>
      </c>
      <c r="F951" s="11">
        <f>SUM(DistMeetingQuota[[#This Row],[Sep]:[Feb]])</f>
        <v>2</v>
      </c>
      <c r="G951" s="11">
        <f>DistMeetingQuota[[#This Row],[Quota]]-DistMeetingQuota[[#This Row],[Actual]]</f>
        <v>0</v>
      </c>
      <c r="H951" s="49">
        <f>DistMeetingQuota[[#This Row],[Actual]]/DistMeetingQuota[[#This Row],[Quota]]</f>
        <v>1</v>
      </c>
      <c r="I951" s="4">
        <v>2</v>
      </c>
      <c r="J951" s="2"/>
      <c r="K951" s="2"/>
      <c r="L951" s="2"/>
      <c r="M951" s="2"/>
      <c r="N951" s="2"/>
      <c r="O951" s="2"/>
      <c r="P951" s="139" t="s">
        <v>10</v>
      </c>
      <c r="Q951" s="2"/>
    </row>
    <row r="952" spans="1:17" s="109" customFormat="1">
      <c r="A952" s="4">
        <v>2009868</v>
      </c>
      <c r="B952" s="138" t="s">
        <v>866</v>
      </c>
      <c r="C952" s="4" t="s">
        <v>21</v>
      </c>
      <c r="D952" s="78" t="s">
        <v>11</v>
      </c>
      <c r="E952" s="53">
        <v>3</v>
      </c>
      <c r="F952" s="11">
        <f>SUM(DistMeetingQuota[[#This Row],[Sep]:[Feb]])</f>
        <v>3</v>
      </c>
      <c r="G952" s="11">
        <f>DistMeetingQuota[[#This Row],[Quota]]-DistMeetingQuota[[#This Row],[Actual]]</f>
        <v>0</v>
      </c>
      <c r="H952" s="49">
        <f>DistMeetingQuota[[#This Row],[Actual]]/DistMeetingQuota[[#This Row],[Quota]]</f>
        <v>1</v>
      </c>
      <c r="I952" s="4"/>
      <c r="J952" s="2"/>
      <c r="K952" s="2"/>
      <c r="L952" s="2">
        <v>1</v>
      </c>
      <c r="M952" s="2">
        <v>2</v>
      </c>
      <c r="N952" s="2"/>
      <c r="O952" s="2"/>
      <c r="P952" s="139" t="s">
        <v>10</v>
      </c>
      <c r="Q952" s="2"/>
    </row>
    <row r="953" spans="1:17" s="109" customFormat="1">
      <c r="A953" s="4">
        <v>2009868</v>
      </c>
      <c r="B953" s="138" t="s">
        <v>866</v>
      </c>
      <c r="C953" s="4" t="s">
        <v>21</v>
      </c>
      <c r="D953" s="78" t="s">
        <v>13</v>
      </c>
      <c r="E953" s="53">
        <v>2</v>
      </c>
      <c r="F953" s="11">
        <f>SUM(DistMeetingQuota[[#This Row],[Sep]:[Feb]])</f>
        <v>1</v>
      </c>
      <c r="G953" s="11">
        <f>DistMeetingQuota[[#This Row],[Quota]]-DistMeetingQuota[[#This Row],[Actual]]</f>
        <v>1</v>
      </c>
      <c r="H953" s="49">
        <f>DistMeetingQuota[[#This Row],[Actual]]/DistMeetingQuota[[#This Row],[Quota]]</f>
        <v>0.5</v>
      </c>
      <c r="I953" s="4"/>
      <c r="J953" s="2"/>
      <c r="K953" s="2"/>
      <c r="L953" s="2">
        <v>1</v>
      </c>
      <c r="M953" s="2"/>
      <c r="N953" s="2"/>
      <c r="O953" s="2"/>
      <c r="P953" s="139" t="s">
        <v>10</v>
      </c>
      <c r="Q953" s="2"/>
    </row>
    <row r="954" spans="1:17" s="109" customFormat="1">
      <c r="A954" s="4">
        <v>2009868</v>
      </c>
      <c r="B954" s="138" t="s">
        <v>866</v>
      </c>
      <c r="C954" s="4" t="s">
        <v>33</v>
      </c>
      <c r="D954" s="78" t="s">
        <v>5</v>
      </c>
      <c r="E954" s="53">
        <v>24</v>
      </c>
      <c r="F954" s="11">
        <f>SUM(DistMeetingQuota[[#This Row],[Sep]:[Feb]])</f>
        <v>4</v>
      </c>
      <c r="G954" s="11">
        <f>DistMeetingQuota[[#This Row],[Quota]]-DistMeetingQuota[[#This Row],[Actual]]</f>
        <v>20</v>
      </c>
      <c r="H954" s="49">
        <f>DistMeetingQuota[[#This Row],[Actual]]/DistMeetingQuota[[#This Row],[Quota]]</f>
        <v>0.16666666666666666</v>
      </c>
      <c r="I954" s="4">
        <v>4</v>
      </c>
      <c r="J954" s="2"/>
      <c r="K954" s="2"/>
      <c r="L954" s="2"/>
      <c r="M954" s="2"/>
      <c r="N954" s="2"/>
      <c r="O954" s="2"/>
      <c r="P954" s="139" t="s">
        <v>10</v>
      </c>
      <c r="Q954" s="2"/>
    </row>
    <row r="955" spans="1:17" s="109" customFormat="1" ht="30">
      <c r="A955" s="303">
        <v>2390101</v>
      </c>
      <c r="B955" s="304" t="s">
        <v>840</v>
      </c>
      <c r="C955" s="303" t="s">
        <v>33</v>
      </c>
      <c r="D955" s="305" t="s">
        <v>11</v>
      </c>
      <c r="E955" s="306">
        <v>2</v>
      </c>
      <c r="F955" s="307">
        <f>SUM(DistMeetingQuota[[#This Row],[Sep]:[Feb]])</f>
        <v>2</v>
      </c>
      <c r="G955" s="307">
        <f>DistMeetingQuota[[#This Row],[Quota]]-DistMeetingQuota[[#This Row],[Actual]]</f>
        <v>0</v>
      </c>
      <c r="H955" s="308">
        <f>DistMeetingQuota[[#This Row],[Actual]]/DistMeetingQuota[[#This Row],[Quota]]</f>
        <v>1</v>
      </c>
      <c r="I955" s="303">
        <v>1</v>
      </c>
      <c r="J955" s="309"/>
      <c r="K955" s="309"/>
      <c r="L955" s="309">
        <v>1</v>
      </c>
      <c r="M955" s="309"/>
      <c r="N955" s="309"/>
      <c r="O955" s="309"/>
      <c r="P955" s="310" t="s">
        <v>473</v>
      </c>
      <c r="Q955" s="309"/>
    </row>
    <row r="956" spans="1:17" s="109" customFormat="1">
      <c r="A956" s="303">
        <v>2560944</v>
      </c>
      <c r="B956" s="304" t="s">
        <v>867</v>
      </c>
      <c r="C956" s="303" t="s">
        <v>19</v>
      </c>
      <c r="D956" s="305" t="s">
        <v>11</v>
      </c>
      <c r="E956" s="306">
        <v>2</v>
      </c>
      <c r="F956" s="307">
        <f>SUM(DistMeetingQuota[[#This Row],[Sep]:[Feb]])</f>
        <v>2</v>
      </c>
      <c r="G956" s="307">
        <f>DistMeetingQuota[[#This Row],[Quota]]-DistMeetingQuota[[#This Row],[Actual]]</f>
        <v>0</v>
      </c>
      <c r="H956" s="308">
        <f>DistMeetingQuota[[#This Row],[Actual]]/DistMeetingQuota[[#This Row],[Quota]]</f>
        <v>1</v>
      </c>
      <c r="I956" s="303">
        <v>1</v>
      </c>
      <c r="J956" s="309"/>
      <c r="K956" s="309">
        <v>1</v>
      </c>
      <c r="L956" s="309"/>
      <c r="M956" s="309"/>
      <c r="N956" s="309"/>
      <c r="O956" s="309"/>
      <c r="P956" s="310" t="s">
        <v>473</v>
      </c>
      <c r="Q956" s="309"/>
    </row>
    <row r="957" spans="1:17" s="109" customFormat="1">
      <c r="A957" s="303">
        <v>2560944</v>
      </c>
      <c r="B957" s="304" t="s">
        <v>867</v>
      </c>
      <c r="C957" s="303" t="s">
        <v>19</v>
      </c>
      <c r="D957" s="305" t="s">
        <v>5</v>
      </c>
      <c r="E957" s="306">
        <v>24</v>
      </c>
      <c r="F957" s="307">
        <f>SUM(DistMeetingQuota[[#This Row],[Sep]:[Feb]])</f>
        <v>1</v>
      </c>
      <c r="G957" s="307">
        <f>DistMeetingQuota[[#This Row],[Quota]]-DistMeetingQuota[[#This Row],[Actual]]</f>
        <v>23</v>
      </c>
      <c r="H957" s="308">
        <f>DistMeetingQuota[[#This Row],[Actual]]/DistMeetingQuota[[#This Row],[Quota]]</f>
        <v>4.1666666666666664E-2</v>
      </c>
      <c r="I957" s="303">
        <v>1</v>
      </c>
      <c r="J957" s="309"/>
      <c r="K957" s="309"/>
      <c r="L957" s="309"/>
      <c r="M957" s="309"/>
      <c r="N957" s="309"/>
      <c r="O957" s="309"/>
      <c r="P957" s="310" t="s">
        <v>473</v>
      </c>
      <c r="Q957" s="309"/>
    </row>
    <row r="958" spans="1:17" s="109" customFormat="1" ht="30">
      <c r="A958" s="303">
        <v>2456737</v>
      </c>
      <c r="B958" s="304" t="s">
        <v>868</v>
      </c>
      <c r="C958" s="303" t="s">
        <v>19</v>
      </c>
      <c r="D958" s="305" t="s">
        <v>11</v>
      </c>
      <c r="E958" s="306">
        <v>2</v>
      </c>
      <c r="F958" s="307">
        <f>SUM(DistMeetingQuota[[#This Row],[Sep]:[Feb]])</f>
        <v>2</v>
      </c>
      <c r="G958" s="307">
        <f>DistMeetingQuota[[#This Row],[Quota]]-DistMeetingQuota[[#This Row],[Actual]]</f>
        <v>0</v>
      </c>
      <c r="H958" s="308">
        <f>DistMeetingQuota[[#This Row],[Actual]]/DistMeetingQuota[[#This Row],[Quota]]</f>
        <v>1</v>
      </c>
      <c r="I958" s="303">
        <v>1</v>
      </c>
      <c r="J958" s="309"/>
      <c r="K958" s="309"/>
      <c r="L958" s="309">
        <v>1</v>
      </c>
      <c r="M958" s="309"/>
      <c r="N958" s="309"/>
      <c r="O958" s="309"/>
      <c r="P958" s="310" t="s">
        <v>473</v>
      </c>
      <c r="Q958" s="309"/>
    </row>
    <row r="959" spans="1:17" s="109" customFormat="1" ht="30">
      <c r="A959" s="4">
        <v>2589585</v>
      </c>
      <c r="B959" s="138" t="s">
        <v>869</v>
      </c>
      <c r="C959" s="4" t="s">
        <v>19</v>
      </c>
      <c r="D959" s="78" t="s">
        <v>5</v>
      </c>
      <c r="E959" s="53">
        <v>24</v>
      </c>
      <c r="F959" s="11">
        <f>SUM(DistMeetingQuota[[#This Row],[Sep]:[Feb]])</f>
        <v>2</v>
      </c>
      <c r="G959" s="11">
        <f>DistMeetingQuota[[#This Row],[Quota]]-DistMeetingQuota[[#This Row],[Actual]]</f>
        <v>22</v>
      </c>
      <c r="H959" s="49">
        <f>DistMeetingQuota[[#This Row],[Actual]]/DistMeetingQuota[[#This Row],[Quota]]</f>
        <v>8.3333333333333329E-2</v>
      </c>
      <c r="I959" s="4">
        <v>2</v>
      </c>
      <c r="J959" s="2"/>
      <c r="K959" s="2"/>
      <c r="L959" s="2"/>
      <c r="M959" s="2"/>
      <c r="N959" s="2"/>
      <c r="O959" s="2"/>
      <c r="P959" s="139" t="s">
        <v>698</v>
      </c>
      <c r="Q959" s="2"/>
    </row>
    <row r="960" spans="1:17" s="109" customFormat="1" ht="30">
      <c r="A960" s="4">
        <v>2202457</v>
      </c>
      <c r="B960" s="138" t="s">
        <v>870</v>
      </c>
      <c r="C960" s="4" t="s">
        <v>21</v>
      </c>
      <c r="D960" s="78" t="s">
        <v>11</v>
      </c>
      <c r="E960" s="53">
        <v>3</v>
      </c>
      <c r="F960" s="11">
        <f>SUM(DistMeetingQuota[[#This Row],[Sep]:[Feb]])</f>
        <v>2</v>
      </c>
      <c r="G960" s="11">
        <f>DistMeetingQuota[[#This Row],[Quota]]-DistMeetingQuota[[#This Row],[Actual]]</f>
        <v>1</v>
      </c>
      <c r="H960" s="49">
        <f>DistMeetingQuota[[#This Row],[Actual]]/DistMeetingQuota[[#This Row],[Quota]]</f>
        <v>0.66666666666666663</v>
      </c>
      <c r="I960" s="4">
        <v>2</v>
      </c>
      <c r="J960" s="2"/>
      <c r="K960" s="2"/>
      <c r="L960" s="2"/>
      <c r="M960" s="2"/>
      <c r="N960" s="2"/>
      <c r="O960" s="2"/>
      <c r="P960" s="139" t="s">
        <v>62</v>
      </c>
      <c r="Q960" s="2"/>
    </row>
    <row r="961" spans="1:17" s="109" customFormat="1" ht="30">
      <c r="A961" s="4">
        <v>2548899</v>
      </c>
      <c r="B961" s="138" t="s">
        <v>872</v>
      </c>
      <c r="C961" s="4" t="s">
        <v>36</v>
      </c>
      <c r="D961" s="78" t="s">
        <v>11</v>
      </c>
      <c r="E961" s="53">
        <v>2</v>
      </c>
      <c r="F961" s="11">
        <f>SUM(DistMeetingQuota[[#This Row],[Sep]:[Feb]])</f>
        <v>2</v>
      </c>
      <c r="G961" s="11">
        <f>DistMeetingQuota[[#This Row],[Quota]]-DistMeetingQuota[[#This Row],[Actual]]</f>
        <v>0</v>
      </c>
      <c r="H961" s="49">
        <f>DistMeetingQuota[[#This Row],[Actual]]/DistMeetingQuota[[#This Row],[Quota]]</f>
        <v>1</v>
      </c>
      <c r="I961" s="4"/>
      <c r="J961" s="2"/>
      <c r="K961" s="2">
        <v>1</v>
      </c>
      <c r="L961" s="2"/>
      <c r="M961" s="2"/>
      <c r="N961" s="2">
        <v>1</v>
      </c>
      <c r="O961" s="2"/>
      <c r="P961" s="139" t="s">
        <v>10</v>
      </c>
      <c r="Q961" s="2"/>
    </row>
    <row r="962" spans="1:17" s="109" customFormat="1" ht="30">
      <c r="A962" s="4">
        <v>2423113</v>
      </c>
      <c r="B962" s="138" t="s">
        <v>875</v>
      </c>
      <c r="C962" s="4" t="s">
        <v>19</v>
      </c>
      <c r="D962" s="78" t="s">
        <v>5</v>
      </c>
      <c r="E962" s="53">
        <v>24</v>
      </c>
      <c r="F962" s="11">
        <f>SUM(DistMeetingQuota[[#This Row],[Sep]:[Feb]])</f>
        <v>3</v>
      </c>
      <c r="G962" s="11">
        <f>DistMeetingQuota[[#This Row],[Quota]]-DistMeetingQuota[[#This Row],[Actual]]</f>
        <v>21</v>
      </c>
      <c r="H962" s="49">
        <f>DistMeetingQuota[[#This Row],[Actual]]/DistMeetingQuota[[#This Row],[Quota]]</f>
        <v>0.125</v>
      </c>
      <c r="I962" s="4">
        <v>3</v>
      </c>
      <c r="J962" s="2"/>
      <c r="K962" s="2"/>
      <c r="L962" s="2"/>
      <c r="M962" s="2"/>
      <c r="N962" s="2"/>
      <c r="O962" s="2"/>
      <c r="P962" s="139" t="s">
        <v>472</v>
      </c>
      <c r="Q962" s="2"/>
    </row>
    <row r="963" spans="1:17" s="109" customFormat="1">
      <c r="A963" s="4">
        <v>2317455</v>
      </c>
      <c r="B963" s="138" t="s">
        <v>877</v>
      </c>
      <c r="C963" s="4" t="s">
        <v>19</v>
      </c>
      <c r="D963" s="78" t="s">
        <v>11</v>
      </c>
      <c r="E963" s="53">
        <v>2</v>
      </c>
      <c r="F963" s="11">
        <f>SUM(DistMeetingQuota[[#This Row],[Sep]:[Feb]])</f>
        <v>2</v>
      </c>
      <c r="G963" s="11">
        <f>DistMeetingQuota[[#This Row],[Quota]]-DistMeetingQuota[[#This Row],[Actual]]</f>
        <v>0</v>
      </c>
      <c r="H963" s="49">
        <f>DistMeetingQuota[[#This Row],[Actual]]/DistMeetingQuota[[#This Row],[Quota]]</f>
        <v>1</v>
      </c>
      <c r="I963" s="4"/>
      <c r="J963" s="2"/>
      <c r="K963" s="2"/>
      <c r="L963" s="2"/>
      <c r="M963" s="2"/>
      <c r="N963" s="2">
        <v>2</v>
      </c>
      <c r="O963" s="2"/>
      <c r="P963" s="139" t="s">
        <v>67</v>
      </c>
      <c r="Q963" s="2"/>
    </row>
    <row r="964" spans="1:17" s="109" customFormat="1">
      <c r="A964" s="4">
        <v>2317455</v>
      </c>
      <c r="B964" s="138" t="s">
        <v>877</v>
      </c>
      <c r="C964" s="4" t="s">
        <v>19</v>
      </c>
      <c r="D964" s="78" t="s">
        <v>5</v>
      </c>
      <c r="E964" s="53">
        <v>24</v>
      </c>
      <c r="F964" s="11">
        <f>SUM(DistMeetingQuota[[#This Row],[Sep]:[Feb]])</f>
        <v>23</v>
      </c>
      <c r="G964" s="11">
        <f>DistMeetingQuota[[#This Row],[Quota]]-DistMeetingQuota[[#This Row],[Actual]]</f>
        <v>1</v>
      </c>
      <c r="H964" s="49">
        <f>DistMeetingQuota[[#This Row],[Actual]]/DistMeetingQuota[[#This Row],[Quota]]</f>
        <v>0.95833333333333337</v>
      </c>
      <c r="I964" s="4">
        <v>4</v>
      </c>
      <c r="J964" s="2">
        <v>4</v>
      </c>
      <c r="K964" s="2">
        <v>4</v>
      </c>
      <c r="L964" s="2">
        <v>4</v>
      </c>
      <c r="M964" s="2">
        <v>4</v>
      </c>
      <c r="N964" s="2">
        <v>3</v>
      </c>
      <c r="O964" s="2"/>
      <c r="P964" s="139" t="s">
        <v>67</v>
      </c>
      <c r="Q964" s="2"/>
    </row>
    <row r="965" spans="1:17" s="109" customFormat="1" ht="30">
      <c r="A965" s="4">
        <v>2361616</v>
      </c>
      <c r="B965" s="138" t="s">
        <v>878</v>
      </c>
      <c r="C965" s="4" t="s">
        <v>19</v>
      </c>
      <c r="D965" s="78" t="s">
        <v>5</v>
      </c>
      <c r="E965" s="53">
        <v>24</v>
      </c>
      <c r="F965" s="11">
        <f>SUM(DistMeetingQuota[[#This Row],[Sep]:[Feb]])</f>
        <v>24</v>
      </c>
      <c r="G965" s="11">
        <f>DistMeetingQuota[[#This Row],[Quota]]-DistMeetingQuota[[#This Row],[Actual]]</f>
        <v>0</v>
      </c>
      <c r="H965" s="49">
        <f>DistMeetingQuota[[#This Row],[Actual]]/DistMeetingQuota[[#This Row],[Quota]]</f>
        <v>1</v>
      </c>
      <c r="I965" s="4">
        <v>4</v>
      </c>
      <c r="J965" s="2">
        <v>4</v>
      </c>
      <c r="K965" s="2">
        <v>4</v>
      </c>
      <c r="L965" s="2">
        <v>4</v>
      </c>
      <c r="M965" s="2">
        <v>4</v>
      </c>
      <c r="N965" s="2">
        <v>4</v>
      </c>
      <c r="O965" s="2"/>
      <c r="P965" s="139" t="s">
        <v>59</v>
      </c>
      <c r="Q965" s="2"/>
    </row>
    <row r="966" spans="1:17" s="109" customFormat="1" ht="30">
      <c r="A966" s="4">
        <v>2274467</v>
      </c>
      <c r="B966" s="138" t="s">
        <v>879</v>
      </c>
      <c r="C966" s="4" t="s">
        <v>19</v>
      </c>
      <c r="D966" s="78" t="s">
        <v>11</v>
      </c>
      <c r="E966" s="53">
        <v>2</v>
      </c>
      <c r="F966" s="11">
        <f>SUM(DistMeetingQuota[[#This Row],[Sep]:[Feb]])</f>
        <v>2</v>
      </c>
      <c r="G966" s="11">
        <f>DistMeetingQuota[[#This Row],[Quota]]-DistMeetingQuota[[#This Row],[Actual]]</f>
        <v>0</v>
      </c>
      <c r="H966" s="49">
        <f>DistMeetingQuota[[#This Row],[Actual]]/DistMeetingQuota[[#This Row],[Quota]]</f>
        <v>1</v>
      </c>
      <c r="I966" s="4"/>
      <c r="J966" s="2"/>
      <c r="K966" s="2">
        <v>2</v>
      </c>
      <c r="L966" s="2"/>
      <c r="M966" s="2"/>
      <c r="N966" s="2"/>
      <c r="O966" s="2"/>
      <c r="P966" s="139" t="s">
        <v>55</v>
      </c>
      <c r="Q966" s="2"/>
    </row>
    <row r="967" spans="1:17" s="109" customFormat="1" ht="30">
      <c r="A967" s="4">
        <v>2274467</v>
      </c>
      <c r="B967" s="138" t="s">
        <v>879</v>
      </c>
      <c r="C967" s="4" t="s">
        <v>19</v>
      </c>
      <c r="D967" s="78" t="s">
        <v>5</v>
      </c>
      <c r="E967" s="53">
        <v>24</v>
      </c>
      <c r="F967" s="11">
        <f>SUM(DistMeetingQuota[[#This Row],[Sep]:[Feb]])</f>
        <v>23</v>
      </c>
      <c r="G967" s="11">
        <f>DistMeetingQuota[[#This Row],[Quota]]-DistMeetingQuota[[#This Row],[Actual]]</f>
        <v>1</v>
      </c>
      <c r="H967" s="49">
        <f>DistMeetingQuota[[#This Row],[Actual]]/DistMeetingQuota[[#This Row],[Quota]]</f>
        <v>0.95833333333333337</v>
      </c>
      <c r="I967" s="4">
        <v>11</v>
      </c>
      <c r="J967" s="2">
        <v>7</v>
      </c>
      <c r="K967" s="2">
        <v>5</v>
      </c>
      <c r="L967" s="2"/>
      <c r="M967" s="2"/>
      <c r="N967" s="2"/>
      <c r="O967" s="2"/>
      <c r="P967" s="139" t="s">
        <v>55</v>
      </c>
      <c r="Q967" s="2"/>
    </row>
    <row r="968" spans="1:17" s="109" customFormat="1" ht="30">
      <c r="A968" s="4">
        <v>2148247</v>
      </c>
      <c r="B968" s="138" t="s">
        <v>461</v>
      </c>
      <c r="C968" s="4" t="s">
        <v>19</v>
      </c>
      <c r="D968" s="78" t="s">
        <v>5</v>
      </c>
      <c r="E968" s="53">
        <v>24</v>
      </c>
      <c r="F968" s="11">
        <f>SUM(DistMeetingQuota[[#This Row],[Sep]:[Feb]])</f>
        <v>22</v>
      </c>
      <c r="G968" s="11">
        <f>DistMeetingQuota[[#This Row],[Quota]]-DistMeetingQuota[[#This Row],[Actual]]</f>
        <v>2</v>
      </c>
      <c r="H968" s="49">
        <f>DistMeetingQuota[[#This Row],[Actual]]/DistMeetingQuota[[#This Row],[Quota]]</f>
        <v>0.91666666666666663</v>
      </c>
      <c r="I968" s="4">
        <v>4</v>
      </c>
      <c r="J968" s="2">
        <v>4</v>
      </c>
      <c r="K968" s="2">
        <v>4</v>
      </c>
      <c r="L968" s="2">
        <v>4</v>
      </c>
      <c r="M968" s="2">
        <v>4</v>
      </c>
      <c r="N968" s="2">
        <v>2</v>
      </c>
      <c r="O968" s="2"/>
      <c r="P968" s="139" t="s">
        <v>14</v>
      </c>
      <c r="Q968" s="2"/>
    </row>
    <row r="969" spans="1:17" s="109" customFormat="1" ht="30">
      <c r="A969" s="4">
        <v>2359990</v>
      </c>
      <c r="B969" s="138" t="s">
        <v>882</v>
      </c>
      <c r="C969" s="4" t="s">
        <v>19</v>
      </c>
      <c r="D969" s="78" t="s">
        <v>5</v>
      </c>
      <c r="E969" s="53">
        <v>24</v>
      </c>
      <c r="F969" s="11">
        <f>SUM(DistMeetingQuota[[#This Row],[Sep]:[Feb]])</f>
        <v>24</v>
      </c>
      <c r="G969" s="11">
        <f>DistMeetingQuota[[#This Row],[Quota]]-DistMeetingQuota[[#This Row],[Actual]]</f>
        <v>0</v>
      </c>
      <c r="H969" s="49">
        <f>DistMeetingQuota[[#This Row],[Actual]]/DistMeetingQuota[[#This Row],[Quota]]</f>
        <v>1</v>
      </c>
      <c r="I969" s="4">
        <v>4</v>
      </c>
      <c r="J969" s="2">
        <v>4</v>
      </c>
      <c r="K969" s="2">
        <v>4</v>
      </c>
      <c r="L969" s="2">
        <v>4</v>
      </c>
      <c r="M969" s="2">
        <v>4</v>
      </c>
      <c r="N969" s="2">
        <v>4</v>
      </c>
      <c r="O969" s="2"/>
      <c r="P969" s="139" t="s">
        <v>59</v>
      </c>
      <c r="Q969" s="2"/>
    </row>
    <row r="970" spans="1:17" s="109" customFormat="1" ht="30">
      <c r="A970" s="4">
        <v>2461262</v>
      </c>
      <c r="B970" s="138" t="s">
        <v>884</v>
      </c>
      <c r="C970" s="4" t="s">
        <v>19</v>
      </c>
      <c r="D970" s="78" t="s">
        <v>11</v>
      </c>
      <c r="E970" s="53">
        <v>2</v>
      </c>
      <c r="F970" s="11">
        <f>SUM(DistMeetingQuota[[#This Row],[Sep]:[Feb]])</f>
        <v>1</v>
      </c>
      <c r="G970" s="11">
        <f>DistMeetingQuota[[#This Row],[Quota]]-DistMeetingQuota[[#This Row],[Actual]]</f>
        <v>1</v>
      </c>
      <c r="H970" s="49">
        <f>DistMeetingQuota[[#This Row],[Actual]]/DistMeetingQuota[[#This Row],[Quota]]</f>
        <v>0.5</v>
      </c>
      <c r="I970" s="4"/>
      <c r="J970" s="2">
        <v>1</v>
      </c>
      <c r="K970" s="2"/>
      <c r="L970" s="2"/>
      <c r="M970" s="2"/>
      <c r="N970" s="2"/>
      <c r="O970" s="2"/>
      <c r="P970" s="139" t="s">
        <v>68</v>
      </c>
      <c r="Q970" s="2"/>
    </row>
    <row r="971" spans="1:17" s="109" customFormat="1" ht="30">
      <c r="A971" s="4">
        <v>2461262</v>
      </c>
      <c r="B971" s="138" t="s">
        <v>884</v>
      </c>
      <c r="C971" s="4" t="s">
        <v>19</v>
      </c>
      <c r="D971" s="78" t="s">
        <v>5</v>
      </c>
      <c r="E971" s="53">
        <v>24</v>
      </c>
      <c r="F971" s="11">
        <f>SUM(DistMeetingQuota[[#This Row],[Sep]:[Feb]])</f>
        <v>14</v>
      </c>
      <c r="G971" s="11">
        <f>DistMeetingQuota[[#This Row],[Quota]]-DistMeetingQuota[[#This Row],[Actual]]</f>
        <v>10</v>
      </c>
      <c r="H971" s="49">
        <f>DistMeetingQuota[[#This Row],[Actual]]/DistMeetingQuota[[#This Row],[Quota]]</f>
        <v>0.58333333333333337</v>
      </c>
      <c r="I971" s="4">
        <v>2</v>
      </c>
      <c r="J971" s="2">
        <v>2</v>
      </c>
      <c r="K971" s="2">
        <v>2</v>
      </c>
      <c r="L971" s="2">
        <v>3</v>
      </c>
      <c r="M971" s="2">
        <v>3</v>
      </c>
      <c r="N971" s="2">
        <v>2</v>
      </c>
      <c r="O971" s="2"/>
      <c r="P971" s="139" t="s">
        <v>68</v>
      </c>
      <c r="Q971" s="2"/>
    </row>
    <row r="972" spans="1:17" s="109" customFormat="1">
      <c r="A972" s="4">
        <v>2219816</v>
      </c>
      <c r="B972" s="138" t="s">
        <v>885</v>
      </c>
      <c r="C972" s="4" t="s">
        <v>19</v>
      </c>
      <c r="D972" s="78" t="s">
        <v>5</v>
      </c>
      <c r="E972" s="53">
        <v>24</v>
      </c>
      <c r="F972" s="11">
        <f>SUM(DistMeetingQuota[[#This Row],[Sep]:[Feb]])</f>
        <v>3</v>
      </c>
      <c r="G972" s="11">
        <f>DistMeetingQuota[[#This Row],[Quota]]-DistMeetingQuota[[#This Row],[Actual]]</f>
        <v>21</v>
      </c>
      <c r="H972" s="49">
        <f>DistMeetingQuota[[#This Row],[Actual]]/DistMeetingQuota[[#This Row],[Quota]]</f>
        <v>0.125</v>
      </c>
      <c r="I972" s="4">
        <v>3</v>
      </c>
      <c r="J972" s="2"/>
      <c r="K972" s="2"/>
      <c r="L972" s="2"/>
      <c r="M972" s="2"/>
      <c r="N972" s="2"/>
      <c r="O972" s="2"/>
      <c r="P972" s="139" t="s">
        <v>474</v>
      </c>
      <c r="Q972" s="2"/>
    </row>
    <row r="973" spans="1:17" s="109" customFormat="1">
      <c r="A973" s="4">
        <v>2405018</v>
      </c>
      <c r="B973" s="138" t="s">
        <v>889</v>
      </c>
      <c r="C973" s="4" t="s">
        <v>19</v>
      </c>
      <c r="D973" s="78" t="s">
        <v>5</v>
      </c>
      <c r="E973" s="53">
        <v>24</v>
      </c>
      <c r="F973" s="11">
        <f>SUM(DistMeetingQuota[[#This Row],[Sep]:[Feb]])</f>
        <v>24</v>
      </c>
      <c r="G973" s="11">
        <f>DistMeetingQuota[[#This Row],[Quota]]-DistMeetingQuota[[#This Row],[Actual]]</f>
        <v>0</v>
      </c>
      <c r="H973" s="49">
        <f>DistMeetingQuota[[#This Row],[Actual]]/DistMeetingQuota[[#This Row],[Quota]]</f>
        <v>1</v>
      </c>
      <c r="I973" s="4">
        <v>4</v>
      </c>
      <c r="J973" s="2">
        <v>4</v>
      </c>
      <c r="K973" s="2">
        <v>4</v>
      </c>
      <c r="L973" s="2">
        <v>4</v>
      </c>
      <c r="M973" s="2">
        <v>4</v>
      </c>
      <c r="N973" s="2">
        <v>4</v>
      </c>
      <c r="O973" s="2"/>
      <c r="P973" s="139" t="s">
        <v>59</v>
      </c>
      <c r="Q973" s="2"/>
    </row>
    <row r="974" spans="1:17" s="109" customFormat="1" ht="30">
      <c r="A974" s="4">
        <v>2448814</v>
      </c>
      <c r="B974" s="138" t="s">
        <v>892</v>
      </c>
      <c r="C974" s="4" t="s">
        <v>21</v>
      </c>
      <c r="D974" s="78" t="s">
        <v>11</v>
      </c>
      <c r="E974" s="53">
        <v>3</v>
      </c>
      <c r="F974" s="11">
        <f>SUM(DistMeetingQuota[[#This Row],[Sep]:[Feb]])</f>
        <v>2</v>
      </c>
      <c r="G974" s="11">
        <f>DistMeetingQuota[[#This Row],[Quota]]-DistMeetingQuota[[#This Row],[Actual]]</f>
        <v>1</v>
      </c>
      <c r="H974" s="49">
        <f>DistMeetingQuota[[#This Row],[Actual]]/DistMeetingQuota[[#This Row],[Quota]]</f>
        <v>0.66666666666666663</v>
      </c>
      <c r="I974" s="4"/>
      <c r="J974" s="2"/>
      <c r="K974" s="2"/>
      <c r="L974" s="2"/>
      <c r="M974" s="2">
        <v>2</v>
      </c>
      <c r="N974" s="2"/>
      <c r="O974" s="2"/>
      <c r="P974" s="139" t="s">
        <v>14</v>
      </c>
      <c r="Q974" s="2"/>
    </row>
    <row r="975" spans="1:17" s="109" customFormat="1" ht="30">
      <c r="A975" s="4">
        <v>2448814</v>
      </c>
      <c r="B975" s="138" t="s">
        <v>892</v>
      </c>
      <c r="C975" s="4" t="s">
        <v>21</v>
      </c>
      <c r="D975" s="78" t="s">
        <v>13</v>
      </c>
      <c r="E975" s="53">
        <v>2</v>
      </c>
      <c r="F975" s="11">
        <f>SUM(DistMeetingQuota[[#This Row],[Sep]:[Feb]])</f>
        <v>2</v>
      </c>
      <c r="G975" s="11">
        <f>DistMeetingQuota[[#This Row],[Quota]]-DistMeetingQuota[[#This Row],[Actual]]</f>
        <v>0</v>
      </c>
      <c r="H975" s="49">
        <f>DistMeetingQuota[[#This Row],[Actual]]/DistMeetingQuota[[#This Row],[Quota]]</f>
        <v>1</v>
      </c>
      <c r="I975" s="4">
        <v>1</v>
      </c>
      <c r="J975" s="2"/>
      <c r="K975" s="2"/>
      <c r="L975" s="2">
        <v>1</v>
      </c>
      <c r="M975" s="2"/>
      <c r="N975" s="2"/>
      <c r="O975" s="2"/>
      <c r="P975" s="139" t="s">
        <v>14</v>
      </c>
      <c r="Q975" s="2"/>
    </row>
    <row r="976" spans="1:17" s="109" customFormat="1">
      <c r="A976" s="4">
        <v>2456898</v>
      </c>
      <c r="B976" s="138" t="s">
        <v>894</v>
      </c>
      <c r="C976" s="4" t="s">
        <v>19</v>
      </c>
      <c r="D976" s="78" t="s">
        <v>5</v>
      </c>
      <c r="E976" s="53">
        <v>24</v>
      </c>
      <c r="F976" s="11">
        <f>SUM(DistMeetingQuota[[#This Row],[Sep]:[Feb]])</f>
        <v>15</v>
      </c>
      <c r="G976" s="11">
        <f>DistMeetingQuota[[#This Row],[Quota]]-DistMeetingQuota[[#This Row],[Actual]]</f>
        <v>9</v>
      </c>
      <c r="H976" s="49">
        <f>DistMeetingQuota[[#This Row],[Actual]]/DistMeetingQuota[[#This Row],[Quota]]</f>
        <v>0.625</v>
      </c>
      <c r="I976" s="4">
        <v>4</v>
      </c>
      <c r="J976" s="2">
        <v>4</v>
      </c>
      <c r="K976" s="2">
        <v>4</v>
      </c>
      <c r="L976" s="2">
        <v>3</v>
      </c>
      <c r="M976" s="2"/>
      <c r="N976" s="2"/>
      <c r="O976" s="2"/>
      <c r="P976" s="139" t="s">
        <v>698</v>
      </c>
      <c r="Q976" s="2"/>
    </row>
    <row r="977" spans="1:17" s="109" customFormat="1" ht="30">
      <c r="A977" s="4">
        <v>2561857</v>
      </c>
      <c r="B977" s="138" t="s">
        <v>895</v>
      </c>
      <c r="C977" s="4" t="s">
        <v>19</v>
      </c>
      <c r="D977" s="78" t="s">
        <v>5</v>
      </c>
      <c r="E977" s="53">
        <v>24</v>
      </c>
      <c r="F977" s="11">
        <f>SUM(DistMeetingQuota[[#This Row],[Sep]:[Feb]])</f>
        <v>2</v>
      </c>
      <c r="G977" s="11">
        <f>DistMeetingQuota[[#This Row],[Quota]]-DistMeetingQuota[[#This Row],[Actual]]</f>
        <v>22</v>
      </c>
      <c r="H977" s="49">
        <f>DistMeetingQuota[[#This Row],[Actual]]/DistMeetingQuota[[#This Row],[Quota]]</f>
        <v>8.3333333333333329E-2</v>
      </c>
      <c r="I977" s="4">
        <v>2</v>
      </c>
      <c r="J977" s="2"/>
      <c r="K977" s="2"/>
      <c r="L977" s="2"/>
      <c r="M977" s="2"/>
      <c r="N977" s="2"/>
      <c r="O977" s="2"/>
      <c r="P977" s="139" t="s">
        <v>470</v>
      </c>
      <c r="Q977" s="2"/>
    </row>
    <row r="978" spans="1:17" s="109" customFormat="1">
      <c r="A978" s="4">
        <v>2243830</v>
      </c>
      <c r="B978" s="138" t="s">
        <v>902</v>
      </c>
      <c r="C978" s="4" t="s">
        <v>19</v>
      </c>
      <c r="D978" s="78" t="s">
        <v>11</v>
      </c>
      <c r="E978" s="53">
        <v>2</v>
      </c>
      <c r="F978" s="11">
        <f>SUM(DistMeetingQuota[[#This Row],[Sep]:[Feb]])</f>
        <v>1</v>
      </c>
      <c r="G978" s="11">
        <f>DistMeetingQuota[[#This Row],[Quota]]-DistMeetingQuota[[#This Row],[Actual]]</f>
        <v>1</v>
      </c>
      <c r="H978" s="49">
        <f>DistMeetingQuota[[#This Row],[Actual]]/DistMeetingQuota[[#This Row],[Quota]]</f>
        <v>0.5</v>
      </c>
      <c r="I978" s="4"/>
      <c r="J978" s="2">
        <v>1</v>
      </c>
      <c r="K978" s="2"/>
      <c r="L978" s="2"/>
      <c r="M978" s="2"/>
      <c r="N978" s="2"/>
      <c r="O978" s="2"/>
      <c r="P978" s="139" t="s">
        <v>14</v>
      </c>
      <c r="Q978" s="2"/>
    </row>
    <row r="979" spans="1:17" s="109" customFormat="1" ht="30">
      <c r="A979" s="4">
        <v>2355948</v>
      </c>
      <c r="B979" s="138" t="s">
        <v>903</v>
      </c>
      <c r="C979" s="4" t="s">
        <v>19</v>
      </c>
      <c r="D979" s="78" t="s">
        <v>11</v>
      </c>
      <c r="E979" s="53">
        <v>2</v>
      </c>
      <c r="F979" s="11">
        <f>SUM(DistMeetingQuota[[#This Row],[Sep]:[Feb]])</f>
        <v>1</v>
      </c>
      <c r="G979" s="11">
        <f>DistMeetingQuota[[#This Row],[Quota]]-DistMeetingQuota[[#This Row],[Actual]]</f>
        <v>1</v>
      </c>
      <c r="H979" s="49">
        <f>DistMeetingQuota[[#This Row],[Actual]]/DistMeetingQuota[[#This Row],[Quota]]</f>
        <v>0.5</v>
      </c>
      <c r="I979" s="4"/>
      <c r="J979" s="2">
        <v>1</v>
      </c>
      <c r="K979" s="2"/>
      <c r="L979" s="2"/>
      <c r="M979" s="2"/>
      <c r="N979" s="2"/>
      <c r="O979" s="2"/>
      <c r="P979" s="139" t="s">
        <v>14</v>
      </c>
      <c r="Q979" s="2"/>
    </row>
    <row r="980" spans="1:17" s="109" customFormat="1">
      <c r="A980" s="4">
        <v>2085700</v>
      </c>
      <c r="B980" s="138" t="s">
        <v>904</v>
      </c>
      <c r="C980" s="4" t="s">
        <v>19</v>
      </c>
      <c r="D980" s="78" t="s">
        <v>11</v>
      </c>
      <c r="E980" s="53">
        <v>2</v>
      </c>
      <c r="F980" s="11">
        <f>SUM(DistMeetingQuota[[#This Row],[Sep]:[Feb]])</f>
        <v>1</v>
      </c>
      <c r="G980" s="11">
        <f>DistMeetingQuota[[#This Row],[Quota]]-DistMeetingQuota[[#This Row],[Actual]]</f>
        <v>1</v>
      </c>
      <c r="H980" s="49">
        <f>DistMeetingQuota[[#This Row],[Actual]]/DistMeetingQuota[[#This Row],[Quota]]</f>
        <v>0.5</v>
      </c>
      <c r="I980" s="4"/>
      <c r="J980" s="2">
        <v>1</v>
      </c>
      <c r="K980" s="2"/>
      <c r="L980" s="2"/>
      <c r="M980" s="2"/>
      <c r="N980" s="2"/>
      <c r="O980" s="2"/>
      <c r="P980" s="139" t="s">
        <v>14</v>
      </c>
      <c r="Q980" s="2"/>
    </row>
    <row r="981" spans="1:17" s="109" customFormat="1" ht="30">
      <c r="A981" s="4">
        <v>2447707</v>
      </c>
      <c r="B981" s="138" t="s">
        <v>905</v>
      </c>
      <c r="C981" s="4" t="s">
        <v>19</v>
      </c>
      <c r="D981" s="78" t="s">
        <v>5</v>
      </c>
      <c r="E981" s="53">
        <v>24</v>
      </c>
      <c r="F981" s="11">
        <f>SUM(DistMeetingQuota[[#This Row],[Sep]:[Feb]])</f>
        <v>4</v>
      </c>
      <c r="G981" s="11">
        <f>DistMeetingQuota[[#This Row],[Quota]]-DistMeetingQuota[[#This Row],[Actual]]</f>
        <v>20</v>
      </c>
      <c r="H981" s="49">
        <f>DistMeetingQuota[[#This Row],[Actual]]/DistMeetingQuota[[#This Row],[Quota]]</f>
        <v>0.16666666666666666</v>
      </c>
      <c r="I981" s="4">
        <v>4</v>
      </c>
      <c r="J981" s="2"/>
      <c r="K981" s="2"/>
      <c r="L981" s="2"/>
      <c r="M981" s="2"/>
      <c r="N981" s="2"/>
      <c r="O981" s="2"/>
      <c r="P981" s="139" t="s">
        <v>736</v>
      </c>
      <c r="Q981" s="2"/>
    </row>
    <row r="982" spans="1:17" s="109" customFormat="1" ht="30">
      <c r="A982" s="4">
        <v>2575967</v>
      </c>
      <c r="B982" s="138" t="s">
        <v>906</v>
      </c>
      <c r="C982" s="4" t="s">
        <v>19</v>
      </c>
      <c r="D982" s="78" t="s">
        <v>5</v>
      </c>
      <c r="E982" s="53">
        <v>24</v>
      </c>
      <c r="F982" s="11">
        <f>SUM(DistMeetingQuota[[#This Row],[Sep]:[Feb]])</f>
        <v>4</v>
      </c>
      <c r="G982" s="11">
        <f>DistMeetingQuota[[#This Row],[Quota]]-DistMeetingQuota[[#This Row],[Actual]]</f>
        <v>20</v>
      </c>
      <c r="H982" s="49">
        <f>DistMeetingQuota[[#This Row],[Actual]]/DistMeetingQuota[[#This Row],[Quota]]</f>
        <v>0.16666666666666666</v>
      </c>
      <c r="I982" s="4">
        <v>1</v>
      </c>
      <c r="J982" s="2">
        <v>3</v>
      </c>
      <c r="K982" s="2"/>
      <c r="L982" s="2"/>
      <c r="M982" s="2"/>
      <c r="N982" s="2"/>
      <c r="O982" s="2"/>
      <c r="P982" s="139" t="s">
        <v>60</v>
      </c>
      <c r="Q982" s="2"/>
    </row>
    <row r="983" spans="1:17" s="109" customFormat="1" ht="30">
      <c r="A983" s="4">
        <v>2014123</v>
      </c>
      <c r="B983" s="138" t="s">
        <v>907</v>
      </c>
      <c r="C983" s="4" t="s">
        <v>19</v>
      </c>
      <c r="D983" s="78" t="s">
        <v>11</v>
      </c>
      <c r="E983" s="53">
        <v>2</v>
      </c>
      <c r="F983" s="11">
        <f>SUM(DistMeetingQuota[[#This Row],[Sep]:[Feb]])</f>
        <v>2</v>
      </c>
      <c r="G983" s="11">
        <f>DistMeetingQuota[[#This Row],[Quota]]-DistMeetingQuota[[#This Row],[Actual]]</f>
        <v>0</v>
      </c>
      <c r="H983" s="49">
        <f>DistMeetingQuota[[#This Row],[Actual]]/DistMeetingQuota[[#This Row],[Quota]]</f>
        <v>1</v>
      </c>
      <c r="I983" s="4"/>
      <c r="J983" s="2">
        <v>2</v>
      </c>
      <c r="K983" s="2"/>
      <c r="L983" s="2"/>
      <c r="M983" s="2"/>
      <c r="N983" s="2"/>
      <c r="O983" s="2"/>
      <c r="P983" s="139" t="s">
        <v>14</v>
      </c>
      <c r="Q983" s="2"/>
    </row>
    <row r="984" spans="1:17" s="109" customFormat="1">
      <c r="A984" s="4">
        <v>2141175</v>
      </c>
      <c r="B984" s="138" t="s">
        <v>908</v>
      </c>
      <c r="C984" s="4" t="s">
        <v>19</v>
      </c>
      <c r="D984" s="78" t="s">
        <v>11</v>
      </c>
      <c r="E984" s="53">
        <v>2</v>
      </c>
      <c r="F984" s="11">
        <f>SUM(DistMeetingQuota[[#This Row],[Sep]:[Feb]])</f>
        <v>2</v>
      </c>
      <c r="G984" s="11">
        <f>DistMeetingQuota[[#This Row],[Quota]]-DistMeetingQuota[[#This Row],[Actual]]</f>
        <v>0</v>
      </c>
      <c r="H984" s="49">
        <f>DistMeetingQuota[[#This Row],[Actual]]/DistMeetingQuota[[#This Row],[Quota]]</f>
        <v>1</v>
      </c>
      <c r="I984" s="4"/>
      <c r="J984" s="2">
        <v>2</v>
      </c>
      <c r="K984" s="2"/>
      <c r="L984" s="2"/>
      <c r="M984" s="2"/>
      <c r="N984" s="2"/>
      <c r="O984" s="2"/>
      <c r="P984" s="139" t="s">
        <v>14</v>
      </c>
      <c r="Q984" s="2"/>
    </row>
    <row r="985" spans="1:17" s="109" customFormat="1" ht="30">
      <c r="A985" s="4">
        <v>2502874</v>
      </c>
      <c r="B985" s="138" t="s">
        <v>909</v>
      </c>
      <c r="C985" s="4" t="s">
        <v>19</v>
      </c>
      <c r="D985" s="78" t="s">
        <v>11</v>
      </c>
      <c r="E985" s="53">
        <v>2</v>
      </c>
      <c r="F985" s="11">
        <f>SUM(DistMeetingQuota[[#This Row],[Sep]:[Feb]])</f>
        <v>1</v>
      </c>
      <c r="G985" s="11">
        <f>DistMeetingQuota[[#This Row],[Quota]]-DistMeetingQuota[[#This Row],[Actual]]</f>
        <v>1</v>
      </c>
      <c r="H985" s="49">
        <f>DistMeetingQuota[[#This Row],[Actual]]/DistMeetingQuota[[#This Row],[Quota]]</f>
        <v>0.5</v>
      </c>
      <c r="I985" s="4"/>
      <c r="J985" s="2">
        <v>1</v>
      </c>
      <c r="K985" s="2"/>
      <c r="L985" s="2"/>
      <c r="M985" s="2"/>
      <c r="N985" s="2"/>
      <c r="O985" s="2"/>
      <c r="P985" s="139" t="s">
        <v>470</v>
      </c>
      <c r="Q985" s="2"/>
    </row>
    <row r="986" spans="1:17" s="109" customFormat="1" ht="30">
      <c r="A986" s="4">
        <v>2502874</v>
      </c>
      <c r="B986" s="138" t="s">
        <v>909</v>
      </c>
      <c r="C986" s="4" t="s">
        <v>19</v>
      </c>
      <c r="D986" s="78" t="s">
        <v>5</v>
      </c>
      <c r="E986" s="53">
        <v>24</v>
      </c>
      <c r="F986" s="11">
        <f>SUM(DistMeetingQuota[[#This Row],[Sep]:[Feb]])</f>
        <v>24</v>
      </c>
      <c r="G986" s="11">
        <f>DistMeetingQuota[[#This Row],[Quota]]-DistMeetingQuota[[#This Row],[Actual]]</f>
        <v>0</v>
      </c>
      <c r="H986" s="49">
        <f>DistMeetingQuota[[#This Row],[Actual]]/DistMeetingQuota[[#This Row],[Quota]]</f>
        <v>1</v>
      </c>
      <c r="I986" s="4">
        <v>4</v>
      </c>
      <c r="J986" s="2">
        <v>4</v>
      </c>
      <c r="K986" s="2">
        <v>4</v>
      </c>
      <c r="L986" s="2">
        <v>4</v>
      </c>
      <c r="M986" s="2">
        <v>4</v>
      </c>
      <c r="N986" s="2">
        <v>4</v>
      </c>
      <c r="O986" s="2"/>
      <c r="P986" s="139" t="s">
        <v>470</v>
      </c>
      <c r="Q986" s="2"/>
    </row>
    <row r="987" spans="1:17" s="109" customFormat="1" ht="30">
      <c r="A987" s="4">
        <v>2625100</v>
      </c>
      <c r="B987" s="138" t="s">
        <v>910</v>
      </c>
      <c r="C987" s="4" t="s">
        <v>19</v>
      </c>
      <c r="D987" s="78" t="s">
        <v>5</v>
      </c>
      <c r="E987" s="53">
        <v>24</v>
      </c>
      <c r="F987" s="11">
        <f>SUM(DistMeetingQuota[[#This Row],[Sep]:[Feb]])</f>
        <v>13</v>
      </c>
      <c r="G987" s="11">
        <f>DistMeetingQuota[[#This Row],[Quota]]-DistMeetingQuota[[#This Row],[Actual]]</f>
        <v>11</v>
      </c>
      <c r="H987" s="49">
        <f>DistMeetingQuota[[#This Row],[Actual]]/DistMeetingQuota[[#This Row],[Quota]]</f>
        <v>0.54166666666666663</v>
      </c>
      <c r="I987" s="4">
        <v>2</v>
      </c>
      <c r="J987" s="2">
        <v>3</v>
      </c>
      <c r="K987" s="2">
        <v>6</v>
      </c>
      <c r="L987" s="2"/>
      <c r="M987" s="2">
        <v>2</v>
      </c>
      <c r="N987" s="2"/>
      <c r="O987" s="2"/>
      <c r="P987" s="139" t="s">
        <v>470</v>
      </c>
      <c r="Q987" s="2"/>
    </row>
    <row r="988" spans="1:17" s="109" customFormat="1">
      <c r="A988" s="4">
        <v>2727741</v>
      </c>
      <c r="B988" s="138" t="s">
        <v>911</v>
      </c>
      <c r="C988" s="4" t="s">
        <v>19</v>
      </c>
      <c r="D988" s="78" t="s">
        <v>11</v>
      </c>
      <c r="E988" s="53">
        <v>2</v>
      </c>
      <c r="F988" s="11">
        <f>SUM(DistMeetingQuota[[#This Row],[Sep]:[Feb]])</f>
        <v>2</v>
      </c>
      <c r="G988" s="11">
        <f>DistMeetingQuota[[#This Row],[Quota]]-DistMeetingQuota[[#This Row],[Actual]]</f>
        <v>0</v>
      </c>
      <c r="H988" s="49">
        <f>DistMeetingQuota[[#This Row],[Actual]]/DistMeetingQuota[[#This Row],[Quota]]</f>
        <v>1</v>
      </c>
      <c r="I988" s="4">
        <v>2</v>
      </c>
      <c r="J988" s="2"/>
      <c r="K988" s="2"/>
      <c r="L988" s="2"/>
      <c r="M988" s="2"/>
      <c r="N988" s="2"/>
      <c r="O988" s="2"/>
      <c r="P988" s="139" t="s">
        <v>10</v>
      </c>
      <c r="Q988" s="2"/>
    </row>
    <row r="989" spans="1:17" s="109" customFormat="1">
      <c r="A989" s="4">
        <v>2727741</v>
      </c>
      <c r="B989" s="138" t="s">
        <v>911</v>
      </c>
      <c r="C989" s="4" t="s">
        <v>19</v>
      </c>
      <c r="D989" s="78" t="s">
        <v>5</v>
      </c>
      <c r="E989" s="53">
        <v>24</v>
      </c>
      <c r="F989" s="11">
        <f>SUM(DistMeetingQuota[[#This Row],[Sep]:[Feb]])</f>
        <v>20</v>
      </c>
      <c r="G989" s="11">
        <f>DistMeetingQuota[[#This Row],[Quota]]-DistMeetingQuota[[#This Row],[Actual]]</f>
        <v>4</v>
      </c>
      <c r="H989" s="49">
        <f>DistMeetingQuota[[#This Row],[Actual]]/DistMeetingQuota[[#This Row],[Quota]]</f>
        <v>0.83333333333333337</v>
      </c>
      <c r="I989" s="4">
        <v>20</v>
      </c>
      <c r="J989" s="2"/>
      <c r="K989" s="2"/>
      <c r="L989" s="2"/>
      <c r="M989" s="2"/>
      <c r="N989" s="2"/>
      <c r="O989" s="2"/>
      <c r="P989" s="139" t="s">
        <v>10</v>
      </c>
      <c r="Q989" s="2"/>
    </row>
    <row r="990" spans="1:17" s="109" customFormat="1">
      <c r="A990" s="4">
        <v>2597163</v>
      </c>
      <c r="B990" s="138" t="s">
        <v>912</v>
      </c>
      <c r="C990" s="4" t="s">
        <v>19</v>
      </c>
      <c r="D990" s="78" t="s">
        <v>11</v>
      </c>
      <c r="E990" s="53">
        <v>2</v>
      </c>
      <c r="F990" s="11">
        <f>SUM(DistMeetingQuota[[#This Row],[Sep]:[Feb]])</f>
        <v>2</v>
      </c>
      <c r="G990" s="11">
        <f>DistMeetingQuota[[#This Row],[Quota]]-DistMeetingQuota[[#This Row],[Actual]]</f>
        <v>0</v>
      </c>
      <c r="H990" s="49">
        <f>DistMeetingQuota[[#This Row],[Actual]]/DistMeetingQuota[[#This Row],[Quota]]</f>
        <v>1</v>
      </c>
      <c r="I990" s="4">
        <v>1</v>
      </c>
      <c r="J990" s="2">
        <v>1</v>
      </c>
      <c r="K990" s="2"/>
      <c r="L990" s="2"/>
      <c r="M990" s="2"/>
      <c r="N990" s="2"/>
      <c r="O990" s="2"/>
      <c r="P990" s="139" t="s">
        <v>10</v>
      </c>
      <c r="Q990" s="2"/>
    </row>
    <row r="991" spans="1:17" s="109" customFormat="1">
      <c r="A991" s="4">
        <v>2597163</v>
      </c>
      <c r="B991" s="138" t="s">
        <v>912</v>
      </c>
      <c r="C991" s="4" t="s">
        <v>19</v>
      </c>
      <c r="D991" s="78" t="s">
        <v>5</v>
      </c>
      <c r="E991" s="53">
        <v>24</v>
      </c>
      <c r="F991" s="11">
        <f>SUM(DistMeetingQuota[[#This Row],[Sep]:[Feb]])</f>
        <v>15</v>
      </c>
      <c r="G991" s="11">
        <f>DistMeetingQuota[[#This Row],[Quota]]-DistMeetingQuota[[#This Row],[Actual]]</f>
        <v>9</v>
      </c>
      <c r="H991" s="49">
        <f>DistMeetingQuota[[#This Row],[Actual]]/DistMeetingQuota[[#This Row],[Quota]]</f>
        <v>0.625</v>
      </c>
      <c r="I991" s="4"/>
      <c r="J991" s="2"/>
      <c r="K991" s="2">
        <v>10</v>
      </c>
      <c r="L991" s="2"/>
      <c r="M991" s="2">
        <v>5</v>
      </c>
      <c r="N991" s="2"/>
      <c r="O991" s="2"/>
      <c r="P991" s="139" t="s">
        <v>10</v>
      </c>
      <c r="Q991" s="2"/>
    </row>
    <row r="992" spans="1:17" s="109" customFormat="1" ht="30">
      <c r="A992" s="4">
        <v>2592026</v>
      </c>
      <c r="B992" s="138" t="s">
        <v>913</v>
      </c>
      <c r="C992" s="4" t="s">
        <v>19</v>
      </c>
      <c r="D992" s="78" t="s">
        <v>11</v>
      </c>
      <c r="E992" s="53">
        <v>2</v>
      </c>
      <c r="F992" s="11">
        <f>SUM(DistMeetingQuota[[#This Row],[Sep]:[Feb]])</f>
        <v>2</v>
      </c>
      <c r="G992" s="11">
        <f>DistMeetingQuota[[#This Row],[Quota]]-DistMeetingQuota[[#This Row],[Actual]]</f>
        <v>0</v>
      </c>
      <c r="H992" s="49">
        <f>DistMeetingQuota[[#This Row],[Actual]]/DistMeetingQuota[[#This Row],[Quota]]</f>
        <v>1</v>
      </c>
      <c r="I992" s="4">
        <v>1</v>
      </c>
      <c r="J992" s="2">
        <v>1</v>
      </c>
      <c r="K992" s="2"/>
      <c r="L992" s="2"/>
      <c r="M992" s="2"/>
      <c r="N992" s="2"/>
      <c r="O992" s="2"/>
      <c r="P992" s="139" t="s">
        <v>10</v>
      </c>
      <c r="Q992" s="2"/>
    </row>
    <row r="993" spans="1:17" s="109" customFormat="1" ht="30">
      <c r="A993" s="4">
        <v>2592026</v>
      </c>
      <c r="B993" s="138" t="s">
        <v>913</v>
      </c>
      <c r="C993" s="4" t="s">
        <v>19</v>
      </c>
      <c r="D993" s="78" t="s">
        <v>5</v>
      </c>
      <c r="E993" s="53">
        <v>24</v>
      </c>
      <c r="F993" s="11">
        <f>SUM(DistMeetingQuota[[#This Row],[Sep]:[Feb]])</f>
        <v>0</v>
      </c>
      <c r="G993" s="11">
        <f>DistMeetingQuota[[#This Row],[Quota]]-DistMeetingQuota[[#This Row],[Actual]]</f>
        <v>24</v>
      </c>
      <c r="H993" s="49">
        <f>DistMeetingQuota[[#This Row],[Actual]]/DistMeetingQuota[[#This Row],[Quota]]</f>
        <v>0</v>
      </c>
      <c r="I993" s="4"/>
      <c r="J993" s="2"/>
      <c r="K993" s="2"/>
      <c r="L993" s="2"/>
      <c r="M993" s="2"/>
      <c r="N993" s="2"/>
      <c r="O993" s="2"/>
      <c r="P993" s="139" t="s">
        <v>10</v>
      </c>
      <c r="Q993" s="2"/>
    </row>
    <row r="994" spans="1:17" s="109" customFormat="1" ht="30">
      <c r="A994" s="4">
        <v>2427287</v>
      </c>
      <c r="B994" s="138" t="s">
        <v>915</v>
      </c>
      <c r="C994" s="4" t="s">
        <v>19</v>
      </c>
      <c r="D994" s="78" t="s">
        <v>11</v>
      </c>
      <c r="E994" s="53">
        <v>2</v>
      </c>
      <c r="F994" s="11">
        <f>SUM(DistMeetingQuota[[#This Row],[Sep]:[Feb]])</f>
        <v>2</v>
      </c>
      <c r="G994" s="11">
        <f>DistMeetingQuota[[#This Row],[Quota]]-DistMeetingQuota[[#This Row],[Actual]]</f>
        <v>0</v>
      </c>
      <c r="H994" s="49">
        <f>DistMeetingQuota[[#This Row],[Actual]]/DistMeetingQuota[[#This Row],[Quota]]</f>
        <v>1</v>
      </c>
      <c r="I994" s="4">
        <v>2</v>
      </c>
      <c r="J994" s="2"/>
      <c r="K994" s="2"/>
      <c r="L994" s="2"/>
      <c r="M994" s="2"/>
      <c r="N994" s="2"/>
      <c r="O994" s="2"/>
      <c r="P994" s="139" t="s">
        <v>14</v>
      </c>
      <c r="Q994" s="2"/>
    </row>
    <row r="995" spans="1:17" s="109" customFormat="1" ht="30">
      <c r="A995" s="4">
        <v>2067848</v>
      </c>
      <c r="B995" s="138" t="s">
        <v>916</v>
      </c>
      <c r="C995" s="4" t="s">
        <v>19</v>
      </c>
      <c r="D995" s="78" t="s">
        <v>11</v>
      </c>
      <c r="E995" s="53">
        <v>2</v>
      </c>
      <c r="F995" s="11">
        <f>SUM(DistMeetingQuota[[#This Row],[Sep]:[Feb]])</f>
        <v>2</v>
      </c>
      <c r="G995" s="11">
        <f>DistMeetingQuota[[#This Row],[Quota]]-DistMeetingQuota[[#This Row],[Actual]]</f>
        <v>0</v>
      </c>
      <c r="H995" s="49">
        <f>DistMeetingQuota[[#This Row],[Actual]]/DistMeetingQuota[[#This Row],[Quota]]</f>
        <v>1</v>
      </c>
      <c r="I995" s="4">
        <v>2</v>
      </c>
      <c r="J995" s="2"/>
      <c r="K995" s="2"/>
      <c r="L995" s="2"/>
      <c r="M995" s="2"/>
      <c r="N995" s="2"/>
      <c r="O995" s="2"/>
      <c r="P995" s="139" t="s">
        <v>14</v>
      </c>
      <c r="Q995" s="2"/>
    </row>
    <row r="996" spans="1:17" s="109" customFormat="1" ht="30">
      <c r="A996" s="4">
        <v>2182768</v>
      </c>
      <c r="B996" s="138" t="s">
        <v>917</v>
      </c>
      <c r="C996" s="4" t="s">
        <v>19</v>
      </c>
      <c r="D996" s="78" t="s">
        <v>11</v>
      </c>
      <c r="E996" s="53">
        <v>2</v>
      </c>
      <c r="F996" s="11">
        <f>SUM(DistMeetingQuota[[#This Row],[Sep]:[Feb]])</f>
        <v>2</v>
      </c>
      <c r="G996" s="11">
        <f>DistMeetingQuota[[#This Row],[Quota]]-DistMeetingQuota[[#This Row],[Actual]]</f>
        <v>0</v>
      </c>
      <c r="H996" s="49">
        <f>DistMeetingQuota[[#This Row],[Actual]]/DistMeetingQuota[[#This Row],[Quota]]</f>
        <v>1</v>
      </c>
      <c r="I996" s="4">
        <v>2</v>
      </c>
      <c r="J996" s="2"/>
      <c r="K996" s="2"/>
      <c r="L996" s="2"/>
      <c r="M996" s="2"/>
      <c r="N996" s="2"/>
      <c r="O996" s="2"/>
      <c r="P996" s="139" t="s">
        <v>14</v>
      </c>
      <c r="Q996" s="2"/>
    </row>
    <row r="997" spans="1:17" s="109" customFormat="1" ht="30">
      <c r="A997" s="4">
        <v>2054537</v>
      </c>
      <c r="B997" s="138" t="s">
        <v>918</v>
      </c>
      <c r="C997" s="4" t="s">
        <v>19</v>
      </c>
      <c r="D997" s="78" t="s">
        <v>11</v>
      </c>
      <c r="E997" s="53">
        <v>2</v>
      </c>
      <c r="F997" s="11">
        <f>SUM(DistMeetingQuota[[#This Row],[Sep]:[Feb]])</f>
        <v>2</v>
      </c>
      <c r="G997" s="11">
        <f>DistMeetingQuota[[#This Row],[Quota]]-DistMeetingQuota[[#This Row],[Actual]]</f>
        <v>0</v>
      </c>
      <c r="H997" s="49">
        <f>DistMeetingQuota[[#This Row],[Actual]]/DistMeetingQuota[[#This Row],[Quota]]</f>
        <v>1</v>
      </c>
      <c r="I997" s="4">
        <v>2</v>
      </c>
      <c r="J997" s="2"/>
      <c r="K997" s="2"/>
      <c r="L997" s="2"/>
      <c r="M997" s="2"/>
      <c r="N997" s="2"/>
      <c r="O997" s="2"/>
      <c r="P997" s="139" t="s">
        <v>14</v>
      </c>
      <c r="Q997" s="2"/>
    </row>
    <row r="998" spans="1:17" s="109" customFormat="1" ht="30">
      <c r="A998" s="4">
        <v>2426735</v>
      </c>
      <c r="B998" s="138" t="s">
        <v>919</v>
      </c>
      <c r="C998" s="4" t="s">
        <v>19</v>
      </c>
      <c r="D998" s="78" t="s">
        <v>11</v>
      </c>
      <c r="E998" s="53">
        <v>2</v>
      </c>
      <c r="F998" s="11">
        <f>SUM(DistMeetingQuota[[#This Row],[Sep]:[Feb]])</f>
        <v>1</v>
      </c>
      <c r="G998" s="11">
        <f>DistMeetingQuota[[#This Row],[Quota]]-DistMeetingQuota[[#This Row],[Actual]]</f>
        <v>1</v>
      </c>
      <c r="H998" s="49">
        <f>DistMeetingQuota[[#This Row],[Actual]]/DistMeetingQuota[[#This Row],[Quota]]</f>
        <v>0.5</v>
      </c>
      <c r="I998" s="4"/>
      <c r="J998" s="2"/>
      <c r="K998" s="2">
        <v>1</v>
      </c>
      <c r="L998" s="2"/>
      <c r="M998" s="2"/>
      <c r="N998" s="2"/>
      <c r="O998" s="2"/>
      <c r="P998" s="139" t="s">
        <v>10</v>
      </c>
      <c r="Q998" s="2"/>
    </row>
    <row r="999" spans="1:17" s="109" customFormat="1" ht="30">
      <c r="A999" s="4">
        <v>2426735</v>
      </c>
      <c r="B999" s="138" t="s">
        <v>919</v>
      </c>
      <c r="C999" s="4" t="s">
        <v>19</v>
      </c>
      <c r="D999" s="78" t="s">
        <v>5</v>
      </c>
      <c r="E999" s="53">
        <v>24</v>
      </c>
      <c r="F999" s="11">
        <f>SUM(DistMeetingQuota[[#This Row],[Sep]:[Feb]])</f>
        <v>6</v>
      </c>
      <c r="G999" s="11">
        <f>DistMeetingQuota[[#This Row],[Quota]]-DistMeetingQuota[[#This Row],[Actual]]</f>
        <v>18</v>
      </c>
      <c r="H999" s="49">
        <f>DistMeetingQuota[[#This Row],[Actual]]/DistMeetingQuota[[#This Row],[Quota]]</f>
        <v>0.25</v>
      </c>
      <c r="I999" s="4"/>
      <c r="J999" s="2">
        <v>3</v>
      </c>
      <c r="K999" s="2"/>
      <c r="L999" s="2">
        <v>3</v>
      </c>
      <c r="M999" s="2"/>
      <c r="N999" s="2"/>
      <c r="O999" s="2"/>
      <c r="P999" s="139" t="s">
        <v>10</v>
      </c>
      <c r="Q999" s="2"/>
    </row>
    <row r="1000" spans="1:17" s="109" customFormat="1">
      <c r="A1000" s="311">
        <v>2327964</v>
      </c>
      <c r="B1000" s="312" t="s">
        <v>920</v>
      </c>
      <c r="C1000" s="311" t="s">
        <v>19</v>
      </c>
      <c r="D1000" s="313" t="s">
        <v>11</v>
      </c>
      <c r="E1000" s="314">
        <v>2</v>
      </c>
      <c r="F1000" s="315">
        <f>SUM(DistMeetingQuota[[#This Row],[Sep]:[Feb]])</f>
        <v>2</v>
      </c>
      <c r="G1000" s="315">
        <f>DistMeetingQuota[[#This Row],[Quota]]-DistMeetingQuota[[#This Row],[Actual]]</f>
        <v>0</v>
      </c>
      <c r="H1000" s="316">
        <f>DistMeetingQuota[[#This Row],[Actual]]/DistMeetingQuota[[#This Row],[Quota]]</f>
        <v>1</v>
      </c>
      <c r="I1000" s="311"/>
      <c r="J1000" s="317">
        <v>2</v>
      </c>
      <c r="K1000" s="317"/>
      <c r="L1000" s="317"/>
      <c r="M1000" s="317"/>
      <c r="N1000" s="317"/>
      <c r="O1000" s="317"/>
      <c r="P1000" s="318" t="s">
        <v>14</v>
      </c>
      <c r="Q1000" s="317"/>
    </row>
    <row r="1001" spans="1:17" s="109" customFormat="1">
      <c r="A1001" s="311">
        <v>2327964</v>
      </c>
      <c r="B1001" s="138" t="s">
        <v>920</v>
      </c>
      <c r="C1001" s="311" t="s">
        <v>19</v>
      </c>
      <c r="D1001" s="313" t="s">
        <v>5</v>
      </c>
      <c r="E1001" s="314">
        <v>24</v>
      </c>
      <c r="F1001" s="315">
        <f>SUM(DistMeetingQuota[[#This Row],[Sep]:[Feb]])</f>
        <v>23</v>
      </c>
      <c r="G1001" s="315">
        <f>DistMeetingQuota[[#This Row],[Quota]]-DistMeetingQuota[[#This Row],[Actual]]</f>
        <v>1</v>
      </c>
      <c r="H1001" s="316">
        <f>DistMeetingQuota[[#This Row],[Actual]]/DistMeetingQuota[[#This Row],[Quota]]</f>
        <v>0.95833333333333337</v>
      </c>
      <c r="I1001" s="311">
        <v>3</v>
      </c>
      <c r="J1001" s="317">
        <v>4</v>
      </c>
      <c r="K1001" s="317">
        <v>4</v>
      </c>
      <c r="L1001" s="317">
        <v>4</v>
      </c>
      <c r="M1001" s="317">
        <v>4</v>
      </c>
      <c r="N1001" s="317">
        <v>4</v>
      </c>
      <c r="O1001" s="317"/>
      <c r="P1001" s="318" t="s">
        <v>14</v>
      </c>
      <c r="Q1001" s="317"/>
    </row>
    <row r="1002" spans="1:17" s="109" customFormat="1" ht="30">
      <c r="A1002" s="4">
        <v>2248389</v>
      </c>
      <c r="B1002" s="138" t="s">
        <v>922</v>
      </c>
      <c r="C1002" s="4" t="s">
        <v>19</v>
      </c>
      <c r="D1002" s="78" t="s">
        <v>11</v>
      </c>
      <c r="E1002" s="53">
        <v>2</v>
      </c>
      <c r="F1002" s="11">
        <f>SUM(DistMeetingQuota[[#This Row],[Sep]:[Feb]])</f>
        <v>2</v>
      </c>
      <c r="G1002" s="11">
        <f>DistMeetingQuota[[#This Row],[Quota]]-DistMeetingQuota[[#This Row],[Actual]]</f>
        <v>0</v>
      </c>
      <c r="H1002" s="49">
        <f>DistMeetingQuota[[#This Row],[Actual]]/DistMeetingQuota[[#This Row],[Quota]]</f>
        <v>1</v>
      </c>
      <c r="I1002" s="4"/>
      <c r="J1002" s="2">
        <v>2</v>
      </c>
      <c r="K1002" s="2"/>
      <c r="L1002" s="2"/>
      <c r="M1002" s="2"/>
      <c r="N1002" s="2"/>
      <c r="O1002" s="2"/>
      <c r="P1002" s="139" t="s">
        <v>10</v>
      </c>
      <c r="Q1002" s="2"/>
    </row>
    <row r="1003" spans="1:17" s="109" customFormat="1" ht="30">
      <c r="A1003" s="4">
        <v>2353410</v>
      </c>
      <c r="B1003" s="138" t="s">
        <v>923</v>
      </c>
      <c r="C1003" s="4" t="s">
        <v>19</v>
      </c>
      <c r="D1003" s="78" t="s">
        <v>5</v>
      </c>
      <c r="E1003" s="53">
        <v>24</v>
      </c>
      <c r="F1003" s="11">
        <f>SUM(DistMeetingQuota[[#This Row],[Sep]:[Feb]])</f>
        <v>8</v>
      </c>
      <c r="G1003" s="11">
        <f>DistMeetingQuota[[#This Row],[Quota]]-DistMeetingQuota[[#This Row],[Actual]]</f>
        <v>16</v>
      </c>
      <c r="H1003" s="49">
        <f>DistMeetingQuota[[#This Row],[Actual]]/DistMeetingQuota[[#This Row],[Quota]]</f>
        <v>0.33333333333333331</v>
      </c>
      <c r="I1003" s="4">
        <v>4</v>
      </c>
      <c r="J1003" s="2"/>
      <c r="K1003" s="2"/>
      <c r="L1003" s="2"/>
      <c r="M1003" s="2">
        <v>4</v>
      </c>
      <c r="N1003" s="2"/>
      <c r="O1003" s="2"/>
      <c r="P1003" s="139" t="s">
        <v>736</v>
      </c>
      <c r="Q1003" s="2"/>
    </row>
    <row r="1004" spans="1:17" s="109" customFormat="1" ht="30">
      <c r="A1004" s="4">
        <v>2352857</v>
      </c>
      <c r="B1004" s="138" t="s">
        <v>924</v>
      </c>
      <c r="C1004" s="4" t="s">
        <v>19</v>
      </c>
      <c r="D1004" s="78" t="s">
        <v>5</v>
      </c>
      <c r="E1004" s="53">
        <v>24</v>
      </c>
      <c r="F1004" s="11">
        <f>SUM(DistMeetingQuota[[#This Row],[Sep]:[Feb]])</f>
        <v>1</v>
      </c>
      <c r="G1004" s="11">
        <f>DistMeetingQuota[[#This Row],[Quota]]-DistMeetingQuota[[#This Row],[Actual]]</f>
        <v>23</v>
      </c>
      <c r="H1004" s="49">
        <f>DistMeetingQuota[[#This Row],[Actual]]/DistMeetingQuota[[#This Row],[Quota]]</f>
        <v>4.1666666666666664E-2</v>
      </c>
      <c r="I1004" s="4">
        <v>1</v>
      </c>
      <c r="J1004" s="2"/>
      <c r="K1004" s="2"/>
      <c r="L1004" s="2"/>
      <c r="M1004" s="2"/>
      <c r="N1004" s="2"/>
      <c r="O1004" s="2"/>
      <c r="P1004" s="139" t="s">
        <v>56</v>
      </c>
      <c r="Q1004" s="2"/>
    </row>
    <row r="1005" spans="1:17" s="109" customFormat="1">
      <c r="A1005" s="319">
        <v>2544584</v>
      </c>
      <c r="B1005" s="320" t="s">
        <v>925</v>
      </c>
      <c r="C1005" s="319" t="s">
        <v>19</v>
      </c>
      <c r="D1005" s="321" t="s">
        <v>5</v>
      </c>
      <c r="E1005" s="322">
        <v>24</v>
      </c>
      <c r="F1005" s="323">
        <f>SUM(DistMeetingQuota[[#This Row],[Sep]:[Feb]])</f>
        <v>14</v>
      </c>
      <c r="G1005" s="323">
        <f>DistMeetingQuota[[#This Row],[Quota]]-DistMeetingQuota[[#This Row],[Actual]]</f>
        <v>10</v>
      </c>
      <c r="H1005" s="324">
        <f>DistMeetingQuota[[#This Row],[Actual]]/DistMeetingQuota[[#This Row],[Quota]]</f>
        <v>0.58333333333333337</v>
      </c>
      <c r="I1005" s="319">
        <v>2</v>
      </c>
      <c r="J1005" s="325">
        <v>4</v>
      </c>
      <c r="K1005" s="325"/>
      <c r="L1005" s="325"/>
      <c r="M1005" s="325">
        <v>3</v>
      </c>
      <c r="N1005" s="325">
        <v>5</v>
      </c>
      <c r="O1005" s="325"/>
      <c r="P1005" s="326" t="s">
        <v>789</v>
      </c>
      <c r="Q1005" s="325"/>
    </row>
    <row r="1006" spans="1:17" s="109" customFormat="1" ht="30">
      <c r="A1006" s="4">
        <v>2816116</v>
      </c>
      <c r="B1006" s="138" t="s">
        <v>1155</v>
      </c>
      <c r="C1006" s="4" t="s">
        <v>19</v>
      </c>
      <c r="D1006" s="78" t="s">
        <v>11</v>
      </c>
      <c r="E1006" s="53">
        <v>2</v>
      </c>
      <c r="F1006" s="11">
        <f>SUM(DistMeetingQuota[[#This Row],[Sep]:[Feb]])</f>
        <v>2</v>
      </c>
      <c r="G1006" s="11">
        <f>DistMeetingQuota[[#This Row],[Quota]]-DistMeetingQuota[[#This Row],[Actual]]</f>
        <v>0</v>
      </c>
      <c r="H1006" s="49">
        <f>DistMeetingQuota[[#This Row],[Actual]]/DistMeetingQuota[[#This Row],[Quota]]</f>
        <v>1</v>
      </c>
      <c r="I1006" s="4"/>
      <c r="J1006" s="2"/>
      <c r="K1006" s="2"/>
      <c r="L1006" s="2"/>
      <c r="M1006" s="2"/>
      <c r="N1006" s="2">
        <v>2</v>
      </c>
      <c r="O1006" s="2"/>
      <c r="P1006" s="139" t="s">
        <v>68</v>
      </c>
      <c r="Q1006" s="2"/>
    </row>
    <row r="1007" spans="1:17" s="109" customFormat="1" ht="30">
      <c r="A1007" s="4">
        <v>2802004</v>
      </c>
      <c r="B1007" s="138" t="s">
        <v>1154</v>
      </c>
      <c r="C1007" s="4" t="s">
        <v>19</v>
      </c>
      <c r="D1007" s="78" t="s">
        <v>11</v>
      </c>
      <c r="E1007" s="53">
        <v>2</v>
      </c>
      <c r="F1007" s="11">
        <f>SUM(DistMeetingQuota[[#This Row],[Sep]:[Feb]])</f>
        <v>2</v>
      </c>
      <c r="G1007" s="11">
        <f>DistMeetingQuota[[#This Row],[Quota]]-DistMeetingQuota[[#This Row],[Actual]]</f>
        <v>0</v>
      </c>
      <c r="H1007" s="49">
        <f>DistMeetingQuota[[#This Row],[Actual]]/DistMeetingQuota[[#This Row],[Quota]]</f>
        <v>1</v>
      </c>
      <c r="I1007" s="4"/>
      <c r="J1007" s="2"/>
      <c r="K1007" s="2"/>
      <c r="L1007" s="2"/>
      <c r="M1007" s="2"/>
      <c r="N1007" s="2">
        <v>2</v>
      </c>
      <c r="O1007" s="2"/>
      <c r="P1007" s="139" t="s">
        <v>68</v>
      </c>
      <c r="Q1007" s="2"/>
    </row>
    <row r="1008" spans="1:17" s="109" customFormat="1" ht="30">
      <c r="A1008" s="4">
        <v>2777264</v>
      </c>
      <c r="B1008" s="138" t="s">
        <v>926</v>
      </c>
      <c r="C1008" s="4" t="s">
        <v>19</v>
      </c>
      <c r="D1008" s="78" t="s">
        <v>11</v>
      </c>
      <c r="E1008" s="53">
        <v>2</v>
      </c>
      <c r="F1008" s="11">
        <v>0</v>
      </c>
      <c r="G1008" s="11">
        <f>DistMeetingQuota[[#This Row],[Quota]]-DistMeetingQuota[[#This Row],[Actual]]</f>
        <v>2</v>
      </c>
      <c r="H1008" s="49">
        <f>DistMeetingQuota[[#This Row],[Actual]]/DistMeetingQuota[[#This Row],[Quota]]</f>
        <v>0</v>
      </c>
      <c r="I1008" s="4"/>
      <c r="J1008" s="2"/>
      <c r="K1008" s="2"/>
      <c r="L1008" s="2"/>
      <c r="M1008" s="2"/>
      <c r="N1008" s="2">
        <v>2</v>
      </c>
      <c r="O1008" s="2"/>
      <c r="P1008" s="139" t="s">
        <v>68</v>
      </c>
      <c r="Q1008" s="2"/>
    </row>
    <row r="1009" spans="1:17" s="109" customFormat="1" ht="30">
      <c r="A1009" s="4">
        <v>2777264</v>
      </c>
      <c r="B1009" s="138" t="s">
        <v>926</v>
      </c>
      <c r="C1009" s="4" t="s">
        <v>19</v>
      </c>
      <c r="D1009" s="78" t="s">
        <v>5</v>
      </c>
      <c r="E1009" s="53">
        <v>24</v>
      </c>
      <c r="F1009" s="11">
        <f>SUM(DistMeetingQuota[[#This Row],[Sep]:[Feb]])</f>
        <v>8</v>
      </c>
      <c r="G1009" s="11">
        <f>DistMeetingQuota[[#This Row],[Quota]]-DistMeetingQuota[[#This Row],[Actual]]</f>
        <v>16</v>
      </c>
      <c r="H1009" s="49">
        <f>DistMeetingQuota[[#This Row],[Actual]]/DistMeetingQuota[[#This Row],[Quota]]</f>
        <v>0.33333333333333331</v>
      </c>
      <c r="I1009" s="4">
        <v>2</v>
      </c>
      <c r="J1009" s="2">
        <v>2</v>
      </c>
      <c r="K1009" s="2">
        <v>2</v>
      </c>
      <c r="L1009" s="2">
        <v>2</v>
      </c>
      <c r="M1009" s="2"/>
      <c r="N1009" s="2"/>
      <c r="O1009" s="2"/>
      <c r="P1009" s="139" t="s">
        <v>68</v>
      </c>
      <c r="Q1009" s="2"/>
    </row>
    <row r="1010" spans="1:17" s="109" customFormat="1" ht="30">
      <c r="A1010" s="327">
        <v>2229090</v>
      </c>
      <c r="B1010" s="328" t="s">
        <v>927</v>
      </c>
      <c r="C1010" s="327" t="s">
        <v>19</v>
      </c>
      <c r="D1010" s="329" t="s">
        <v>5</v>
      </c>
      <c r="E1010" s="330">
        <v>24</v>
      </c>
      <c r="F1010" s="331">
        <f>SUM(DistMeetingQuota[[#This Row],[Sep]:[Feb]])</f>
        <v>1</v>
      </c>
      <c r="G1010" s="331">
        <f>DistMeetingQuota[[#This Row],[Quota]]-DistMeetingQuota[[#This Row],[Actual]]</f>
        <v>23</v>
      </c>
      <c r="H1010" s="332">
        <f>DistMeetingQuota[[#This Row],[Actual]]/DistMeetingQuota[[#This Row],[Quota]]</f>
        <v>4.1666666666666664E-2</v>
      </c>
      <c r="I1010" s="327">
        <v>1</v>
      </c>
      <c r="J1010" s="333"/>
      <c r="K1010" s="333"/>
      <c r="L1010" s="333"/>
      <c r="M1010" s="333"/>
      <c r="N1010" s="333"/>
      <c r="O1010" s="333"/>
      <c r="P1010" s="334" t="s">
        <v>64</v>
      </c>
      <c r="Q1010" s="333"/>
    </row>
    <row r="1011" spans="1:17" s="109" customFormat="1" ht="30">
      <c r="A1011" s="4">
        <v>2180527</v>
      </c>
      <c r="B1011" s="138" t="s">
        <v>928</v>
      </c>
      <c r="C1011" s="4" t="s">
        <v>19</v>
      </c>
      <c r="D1011" s="78" t="s">
        <v>11</v>
      </c>
      <c r="E1011" s="53">
        <v>2</v>
      </c>
      <c r="F1011" s="11">
        <f>SUM(DistMeetingQuota[[#This Row],[Sep]:[Feb]])</f>
        <v>2</v>
      </c>
      <c r="G1011" s="11">
        <f>DistMeetingQuota[[#This Row],[Quota]]-DistMeetingQuota[[#This Row],[Actual]]</f>
        <v>0</v>
      </c>
      <c r="H1011" s="49">
        <f>DistMeetingQuota[[#This Row],[Actual]]/DistMeetingQuota[[#This Row],[Quota]]</f>
        <v>1</v>
      </c>
      <c r="I1011" s="4">
        <v>2</v>
      </c>
      <c r="J1011" s="2"/>
      <c r="K1011" s="2"/>
      <c r="L1011" s="2"/>
      <c r="M1011" s="2"/>
      <c r="N1011" s="2"/>
      <c r="O1011" s="2"/>
      <c r="P1011" s="139" t="s">
        <v>10</v>
      </c>
      <c r="Q1011" s="2"/>
    </row>
    <row r="1012" spans="1:17" s="109" customFormat="1" ht="30">
      <c r="A1012" s="4">
        <v>2176797</v>
      </c>
      <c r="B1012" s="138" t="s">
        <v>929</v>
      </c>
      <c r="C1012" s="4" t="s">
        <v>19</v>
      </c>
      <c r="D1012" s="78" t="s">
        <v>11</v>
      </c>
      <c r="E1012" s="53">
        <v>2</v>
      </c>
      <c r="F1012" s="11">
        <f>SUM(DistMeetingQuota[[#This Row],[Sep]:[Feb]])</f>
        <v>1</v>
      </c>
      <c r="G1012" s="11">
        <f>DistMeetingQuota[[#This Row],[Quota]]-DistMeetingQuota[[#This Row],[Actual]]</f>
        <v>1</v>
      </c>
      <c r="H1012" s="49">
        <f>DistMeetingQuota[[#This Row],[Actual]]/DistMeetingQuota[[#This Row],[Quota]]</f>
        <v>0.5</v>
      </c>
      <c r="I1012" s="4"/>
      <c r="J1012" s="2">
        <v>1</v>
      </c>
      <c r="K1012" s="2"/>
      <c r="L1012" s="2"/>
      <c r="M1012" s="2"/>
      <c r="N1012" s="2"/>
      <c r="O1012" s="2"/>
      <c r="P1012" s="139" t="s">
        <v>14</v>
      </c>
      <c r="Q1012" s="2"/>
    </row>
    <row r="1013" spans="1:17" s="109" customFormat="1">
      <c r="A1013" s="327">
        <v>2017755</v>
      </c>
      <c r="B1013" s="328" t="s">
        <v>930</v>
      </c>
      <c r="C1013" s="327" t="s">
        <v>19</v>
      </c>
      <c r="D1013" s="329" t="s">
        <v>11</v>
      </c>
      <c r="E1013" s="330">
        <v>2</v>
      </c>
      <c r="F1013" s="331">
        <f>SUM(DistMeetingQuota[[#This Row],[Sep]:[Feb]])</f>
        <v>2</v>
      </c>
      <c r="G1013" s="331">
        <f>DistMeetingQuota[[#This Row],[Quota]]-DistMeetingQuota[[#This Row],[Actual]]</f>
        <v>0</v>
      </c>
      <c r="H1013" s="332">
        <f>DistMeetingQuota[[#This Row],[Actual]]/DistMeetingQuota[[#This Row],[Quota]]</f>
        <v>1</v>
      </c>
      <c r="I1013" s="327"/>
      <c r="J1013" s="333">
        <v>2</v>
      </c>
      <c r="K1013" s="333"/>
      <c r="L1013" s="333"/>
      <c r="M1013" s="333"/>
      <c r="N1013" s="333"/>
      <c r="O1013" s="333"/>
      <c r="P1013" s="334" t="s">
        <v>10</v>
      </c>
      <c r="Q1013" s="333"/>
    </row>
    <row r="1014" spans="1:17" s="109" customFormat="1" ht="30">
      <c r="A1014" s="327">
        <v>2203112</v>
      </c>
      <c r="B1014" s="328" t="s">
        <v>931</v>
      </c>
      <c r="C1014" s="327" t="s">
        <v>19</v>
      </c>
      <c r="D1014" s="329" t="s">
        <v>11</v>
      </c>
      <c r="E1014" s="330">
        <v>2</v>
      </c>
      <c r="F1014" s="331">
        <f>SUM(DistMeetingQuota[[#This Row],[Sep]:[Feb]])</f>
        <v>1</v>
      </c>
      <c r="G1014" s="331">
        <f>DistMeetingQuota[[#This Row],[Quota]]-DistMeetingQuota[[#This Row],[Actual]]</f>
        <v>1</v>
      </c>
      <c r="H1014" s="332">
        <f>DistMeetingQuota[[#This Row],[Actual]]/DistMeetingQuota[[#This Row],[Quota]]</f>
        <v>0.5</v>
      </c>
      <c r="I1014" s="327"/>
      <c r="J1014" s="333">
        <v>1</v>
      </c>
      <c r="K1014" s="333"/>
      <c r="L1014" s="333"/>
      <c r="M1014" s="333"/>
      <c r="N1014" s="333"/>
      <c r="O1014" s="333"/>
      <c r="P1014" s="334" t="s">
        <v>10</v>
      </c>
      <c r="Q1014" s="333"/>
    </row>
    <row r="1015" spans="1:17" s="109" customFormat="1" ht="30">
      <c r="A1015" s="327">
        <v>2203847</v>
      </c>
      <c r="B1015" s="328" t="s">
        <v>832</v>
      </c>
      <c r="C1015" s="327" t="s">
        <v>19</v>
      </c>
      <c r="D1015" s="329" t="s">
        <v>5</v>
      </c>
      <c r="E1015" s="330">
        <v>24</v>
      </c>
      <c r="F1015" s="331">
        <f>SUM(DistMeetingQuota[[#This Row],[Sep]:[Feb]])</f>
        <v>0</v>
      </c>
      <c r="G1015" s="331">
        <f>DistMeetingQuota[[#This Row],[Quota]]-DistMeetingQuota[[#This Row],[Actual]]</f>
        <v>24</v>
      </c>
      <c r="H1015" s="332">
        <f>DistMeetingQuota[[#This Row],[Actual]]/DistMeetingQuota[[#This Row],[Quota]]</f>
        <v>0</v>
      </c>
      <c r="I1015" s="327"/>
      <c r="J1015" s="333"/>
      <c r="K1015" s="333"/>
      <c r="L1015" s="333"/>
      <c r="M1015" s="333"/>
      <c r="N1015" s="333"/>
      <c r="O1015" s="333"/>
      <c r="P1015" s="334" t="s">
        <v>708</v>
      </c>
      <c r="Q1015" s="333"/>
    </row>
    <row r="1016" spans="1:17" s="109" customFormat="1">
      <c r="A1016" s="327">
        <v>2054403</v>
      </c>
      <c r="B1016" s="328" t="s">
        <v>932</v>
      </c>
      <c r="C1016" s="327" t="s">
        <v>19</v>
      </c>
      <c r="D1016" s="329" t="s">
        <v>11</v>
      </c>
      <c r="E1016" s="330">
        <v>2</v>
      </c>
      <c r="F1016" s="331">
        <f>SUM(DistMeetingQuota[[#This Row],[Sep]:[Feb]])</f>
        <v>1</v>
      </c>
      <c r="G1016" s="331">
        <f>DistMeetingQuota[[#This Row],[Quota]]-DistMeetingQuota[[#This Row],[Actual]]</f>
        <v>1</v>
      </c>
      <c r="H1016" s="332">
        <f>DistMeetingQuota[[#This Row],[Actual]]/DistMeetingQuota[[#This Row],[Quota]]</f>
        <v>0.5</v>
      </c>
      <c r="I1016" s="327"/>
      <c r="J1016" s="333">
        <v>1</v>
      </c>
      <c r="K1016" s="333"/>
      <c r="L1016" s="333"/>
      <c r="M1016" s="333"/>
      <c r="N1016" s="333"/>
      <c r="O1016" s="333"/>
      <c r="P1016" s="334" t="s">
        <v>10</v>
      </c>
      <c r="Q1016" s="333"/>
    </row>
    <row r="1017" spans="1:17" s="109" customFormat="1">
      <c r="A1017" s="327">
        <v>2149526</v>
      </c>
      <c r="B1017" s="328" t="s">
        <v>933</v>
      </c>
      <c r="C1017" s="327" t="s">
        <v>19</v>
      </c>
      <c r="D1017" s="329" t="s">
        <v>11</v>
      </c>
      <c r="E1017" s="330">
        <v>2</v>
      </c>
      <c r="F1017" s="331">
        <f>SUM(DistMeetingQuota[[#This Row],[Sep]:[Feb]])</f>
        <v>2</v>
      </c>
      <c r="G1017" s="331">
        <f>DistMeetingQuota[[#This Row],[Quota]]-DistMeetingQuota[[#This Row],[Actual]]</f>
        <v>0</v>
      </c>
      <c r="H1017" s="332">
        <f>DistMeetingQuota[[#This Row],[Actual]]/DistMeetingQuota[[#This Row],[Quota]]</f>
        <v>1</v>
      </c>
      <c r="I1017" s="327"/>
      <c r="J1017" s="333">
        <v>2</v>
      </c>
      <c r="K1017" s="333"/>
      <c r="L1017" s="333"/>
      <c r="M1017" s="333"/>
      <c r="N1017" s="333"/>
      <c r="O1017" s="333"/>
      <c r="P1017" s="334" t="s">
        <v>10</v>
      </c>
      <c r="Q1017" s="333"/>
    </row>
    <row r="1018" spans="1:17" s="109" customFormat="1" ht="30">
      <c r="A1018" s="327">
        <v>2411166</v>
      </c>
      <c r="B1018" s="328" t="s">
        <v>798</v>
      </c>
      <c r="C1018" s="327" t="s">
        <v>19</v>
      </c>
      <c r="D1018" s="329" t="s">
        <v>5</v>
      </c>
      <c r="E1018" s="330">
        <v>24</v>
      </c>
      <c r="F1018" s="331">
        <f>SUM(DistMeetingQuota[[#This Row],[Sep]:[Feb]])</f>
        <v>5</v>
      </c>
      <c r="G1018" s="331">
        <f>DistMeetingQuota[[#This Row],[Quota]]-DistMeetingQuota[[#This Row],[Actual]]</f>
        <v>19</v>
      </c>
      <c r="H1018" s="332">
        <f>DistMeetingQuota[[#This Row],[Actual]]/DistMeetingQuota[[#This Row],[Quota]]</f>
        <v>0.20833333333333334</v>
      </c>
      <c r="I1018" s="327"/>
      <c r="J1018" s="333">
        <v>1</v>
      </c>
      <c r="K1018" s="333">
        <v>1</v>
      </c>
      <c r="L1018" s="333">
        <v>1</v>
      </c>
      <c r="M1018" s="333">
        <v>1</v>
      </c>
      <c r="N1018" s="333">
        <v>1</v>
      </c>
      <c r="O1018" s="333"/>
      <c r="P1018" s="334" t="s">
        <v>14</v>
      </c>
      <c r="Q1018" s="333"/>
    </row>
    <row r="1019" spans="1:17" s="109" customFormat="1" ht="30">
      <c r="A1019" s="327">
        <v>2493790</v>
      </c>
      <c r="B1019" s="328" t="s">
        <v>934</v>
      </c>
      <c r="C1019" s="327" t="s">
        <v>19</v>
      </c>
      <c r="D1019" s="329" t="s">
        <v>5</v>
      </c>
      <c r="E1019" s="330">
        <v>24</v>
      </c>
      <c r="F1019" s="331">
        <f>SUM(DistMeetingQuota[[#This Row],[Sep]:[Feb]])</f>
        <v>5</v>
      </c>
      <c r="G1019" s="331">
        <f>DistMeetingQuota[[#This Row],[Quota]]-DistMeetingQuota[[#This Row],[Actual]]</f>
        <v>19</v>
      </c>
      <c r="H1019" s="332">
        <f>DistMeetingQuota[[#This Row],[Actual]]/DistMeetingQuota[[#This Row],[Quota]]</f>
        <v>0.20833333333333334</v>
      </c>
      <c r="I1019" s="327"/>
      <c r="J1019" s="333">
        <v>1</v>
      </c>
      <c r="K1019" s="333">
        <v>1</v>
      </c>
      <c r="L1019" s="333">
        <v>1</v>
      </c>
      <c r="M1019" s="333">
        <v>1</v>
      </c>
      <c r="N1019" s="333">
        <v>1</v>
      </c>
      <c r="O1019" s="333"/>
      <c r="P1019" s="334" t="s">
        <v>708</v>
      </c>
      <c r="Q1019" s="333"/>
    </row>
    <row r="1020" spans="1:17" s="109" customFormat="1" ht="30">
      <c r="A1020" s="4">
        <v>2156718</v>
      </c>
      <c r="B1020" s="138" t="s">
        <v>937</v>
      </c>
      <c r="C1020" s="4" t="s">
        <v>19</v>
      </c>
      <c r="D1020" s="78" t="s">
        <v>5</v>
      </c>
      <c r="E1020" s="53">
        <v>24</v>
      </c>
      <c r="F1020" s="11">
        <f>SUM(DistMeetingQuota[[#This Row],[Sep]:[Feb]])</f>
        <v>4</v>
      </c>
      <c r="G1020" s="11">
        <f>DistMeetingQuota[[#This Row],[Quota]]-DistMeetingQuota[[#This Row],[Actual]]</f>
        <v>20</v>
      </c>
      <c r="H1020" s="49">
        <f>DistMeetingQuota[[#This Row],[Actual]]/DistMeetingQuota[[#This Row],[Quota]]</f>
        <v>0.16666666666666666</v>
      </c>
      <c r="I1020" s="4">
        <v>1</v>
      </c>
      <c r="J1020" s="2"/>
      <c r="K1020" s="2"/>
      <c r="L1020" s="2">
        <v>1</v>
      </c>
      <c r="M1020" s="2"/>
      <c r="N1020" s="2">
        <v>2</v>
      </c>
      <c r="O1020" s="2"/>
      <c r="P1020" s="139" t="s">
        <v>64</v>
      </c>
      <c r="Q1020" s="2"/>
    </row>
    <row r="1021" spans="1:17" s="109" customFormat="1" ht="30">
      <c r="A1021" s="4">
        <v>2504619</v>
      </c>
      <c r="B1021" s="138" t="s">
        <v>939</v>
      </c>
      <c r="C1021" s="4" t="s">
        <v>19</v>
      </c>
      <c r="D1021" s="78" t="s">
        <v>11</v>
      </c>
      <c r="E1021" s="53">
        <v>2</v>
      </c>
      <c r="F1021" s="11">
        <f>SUM(DistMeetingQuota[[#This Row],[Sep]:[Feb]])</f>
        <v>2</v>
      </c>
      <c r="G1021" s="11">
        <f>DistMeetingQuota[[#This Row],[Quota]]-DistMeetingQuota[[#This Row],[Actual]]</f>
        <v>0</v>
      </c>
      <c r="H1021" s="49">
        <f>DistMeetingQuota[[#This Row],[Actual]]/DistMeetingQuota[[#This Row],[Quota]]</f>
        <v>1</v>
      </c>
      <c r="I1021" s="4"/>
      <c r="J1021" s="2">
        <v>2</v>
      </c>
      <c r="K1021" s="2"/>
      <c r="L1021" s="2"/>
      <c r="M1021" s="2"/>
      <c r="N1021" s="2"/>
      <c r="O1021" s="2"/>
      <c r="P1021" s="139" t="s">
        <v>10</v>
      </c>
      <c r="Q1021" s="2"/>
    </row>
    <row r="1022" spans="1:17" s="109" customFormat="1" ht="30">
      <c r="A1022" s="4">
        <v>2219426</v>
      </c>
      <c r="B1022" s="138" t="s">
        <v>938</v>
      </c>
      <c r="C1022" s="4" t="s">
        <v>19</v>
      </c>
      <c r="D1022" s="78" t="s">
        <v>11</v>
      </c>
      <c r="E1022" s="53">
        <v>2</v>
      </c>
      <c r="F1022" s="11">
        <f>SUM(DistMeetingQuota[[#This Row],[Sep]:[Feb]])</f>
        <v>2</v>
      </c>
      <c r="G1022" s="11">
        <f>DistMeetingQuota[[#This Row],[Quota]]-DistMeetingQuota[[#This Row],[Actual]]</f>
        <v>0</v>
      </c>
      <c r="H1022" s="49">
        <f>DistMeetingQuota[[#This Row],[Actual]]/DistMeetingQuota[[#This Row],[Quota]]</f>
        <v>1</v>
      </c>
      <c r="I1022" s="4"/>
      <c r="J1022" s="2">
        <v>2</v>
      </c>
      <c r="K1022" s="2"/>
      <c r="L1022" s="2"/>
      <c r="M1022" s="2"/>
      <c r="N1022" s="2"/>
      <c r="O1022" s="2"/>
      <c r="P1022" s="139" t="s">
        <v>10</v>
      </c>
      <c r="Q1022" s="2"/>
    </row>
    <row r="1023" spans="1:17" s="109" customFormat="1">
      <c r="A1023" s="4">
        <v>2565362</v>
      </c>
      <c r="B1023" s="138" t="s">
        <v>940</v>
      </c>
      <c r="C1023" s="4" t="s">
        <v>19</v>
      </c>
      <c r="D1023" s="78" t="s">
        <v>11</v>
      </c>
      <c r="E1023" s="53">
        <v>2</v>
      </c>
      <c r="F1023" s="11">
        <f>SUM(DistMeetingQuota[[#This Row],[Sep]:[Feb]])</f>
        <v>2</v>
      </c>
      <c r="G1023" s="11">
        <f>DistMeetingQuota[[#This Row],[Quota]]-DistMeetingQuota[[#This Row],[Actual]]</f>
        <v>0</v>
      </c>
      <c r="H1023" s="49">
        <f>DistMeetingQuota[[#This Row],[Actual]]/DistMeetingQuota[[#This Row],[Quota]]</f>
        <v>1</v>
      </c>
      <c r="I1023" s="4"/>
      <c r="J1023" s="2">
        <v>1</v>
      </c>
      <c r="K1023" s="2"/>
      <c r="L1023" s="2">
        <v>1</v>
      </c>
      <c r="M1023" s="2"/>
      <c r="N1023" s="2"/>
      <c r="O1023" s="2"/>
      <c r="P1023" s="120"/>
      <c r="Q1023" s="2"/>
    </row>
    <row r="1024" spans="1:17" s="109" customFormat="1" ht="30">
      <c r="A1024" s="4">
        <v>2438639</v>
      </c>
      <c r="B1024" s="138" t="s">
        <v>941</v>
      </c>
      <c r="C1024" s="4" t="s">
        <v>19</v>
      </c>
      <c r="D1024" s="78" t="s">
        <v>11</v>
      </c>
      <c r="E1024" s="53">
        <v>2</v>
      </c>
      <c r="F1024" s="11">
        <f>SUM(DistMeetingQuota[[#This Row],[Sep]:[Feb]])</f>
        <v>2</v>
      </c>
      <c r="G1024" s="11">
        <f>DistMeetingQuota[[#This Row],[Quota]]-DistMeetingQuota[[#This Row],[Actual]]</f>
        <v>0</v>
      </c>
      <c r="H1024" s="49">
        <f>DistMeetingQuota[[#This Row],[Actual]]/DistMeetingQuota[[#This Row],[Quota]]</f>
        <v>1</v>
      </c>
      <c r="I1024" s="4"/>
      <c r="J1024" s="2">
        <v>1</v>
      </c>
      <c r="K1024" s="2"/>
      <c r="L1024" s="2">
        <v>1</v>
      </c>
      <c r="M1024" s="2"/>
      <c r="N1024" s="2"/>
      <c r="O1024" s="2"/>
      <c r="P1024" s="139" t="s">
        <v>10</v>
      </c>
      <c r="Q1024" s="2"/>
    </row>
    <row r="1025" spans="1:17" s="109" customFormat="1" ht="30">
      <c r="A1025" s="4">
        <v>2627756</v>
      </c>
      <c r="B1025" s="138" t="s">
        <v>946</v>
      </c>
      <c r="C1025" s="4" t="s">
        <v>19</v>
      </c>
      <c r="D1025" s="78" t="s">
        <v>5</v>
      </c>
      <c r="E1025" s="53">
        <v>24</v>
      </c>
      <c r="F1025" s="11">
        <f>SUM(DistMeetingQuota[[#This Row],[Sep]:[Feb]])</f>
        <v>10</v>
      </c>
      <c r="G1025" s="11">
        <f>DistMeetingQuota[[#This Row],[Quota]]-DistMeetingQuota[[#This Row],[Actual]]</f>
        <v>14</v>
      </c>
      <c r="H1025" s="49">
        <f>DistMeetingQuota[[#This Row],[Actual]]/DistMeetingQuota[[#This Row],[Quota]]</f>
        <v>0.41666666666666669</v>
      </c>
      <c r="I1025" s="4"/>
      <c r="J1025" s="2">
        <v>5</v>
      </c>
      <c r="K1025" s="2"/>
      <c r="L1025" s="2">
        <v>5</v>
      </c>
      <c r="M1025" s="2"/>
      <c r="N1025" s="2"/>
      <c r="O1025" s="2"/>
      <c r="P1025" s="139" t="s">
        <v>10</v>
      </c>
      <c r="Q1025" s="2"/>
    </row>
    <row r="1026" spans="1:17" s="109" customFormat="1" ht="30">
      <c r="A1026" s="4">
        <v>2627756</v>
      </c>
      <c r="B1026" s="138" t="s">
        <v>946</v>
      </c>
      <c r="C1026" s="4" t="s">
        <v>19</v>
      </c>
      <c r="D1026" s="78" t="s">
        <v>11</v>
      </c>
      <c r="E1026" s="53">
        <v>2</v>
      </c>
      <c r="F1026" s="11">
        <f>SUM(DistMeetingQuota[[#This Row],[Sep]:[Feb]])</f>
        <v>2</v>
      </c>
      <c r="G1026" s="11">
        <f>DistMeetingQuota[[#This Row],[Quota]]-DistMeetingQuota[[#This Row],[Actual]]</f>
        <v>0</v>
      </c>
      <c r="H1026" s="49">
        <f>DistMeetingQuota[[#This Row],[Actual]]/DistMeetingQuota[[#This Row],[Quota]]</f>
        <v>1</v>
      </c>
      <c r="I1026" s="4"/>
      <c r="J1026" s="2">
        <v>2</v>
      </c>
      <c r="K1026" s="2"/>
      <c r="L1026" s="2"/>
      <c r="M1026" s="2"/>
      <c r="N1026" s="2"/>
      <c r="O1026" s="2"/>
      <c r="P1026" s="139" t="s">
        <v>10</v>
      </c>
      <c r="Q1026" s="2"/>
    </row>
    <row r="1027" spans="1:17" s="109" customFormat="1">
      <c r="A1027" s="4">
        <v>2653476</v>
      </c>
      <c r="B1027" s="138" t="s">
        <v>947</v>
      </c>
      <c r="C1027" s="4" t="s">
        <v>19</v>
      </c>
      <c r="D1027" s="78" t="s">
        <v>5</v>
      </c>
      <c r="E1027" s="53">
        <v>24</v>
      </c>
      <c r="F1027" s="11">
        <f>SUM(DistMeetingQuota[[#This Row],[Sep]:[Feb]])</f>
        <v>20</v>
      </c>
      <c r="G1027" s="11">
        <f>DistMeetingQuota[[#This Row],[Quota]]-DistMeetingQuota[[#This Row],[Actual]]</f>
        <v>4</v>
      </c>
      <c r="H1027" s="49">
        <f>DistMeetingQuota[[#This Row],[Actual]]/DistMeetingQuota[[#This Row],[Quota]]</f>
        <v>0.83333333333333337</v>
      </c>
      <c r="I1027" s="4"/>
      <c r="J1027" s="2">
        <v>5</v>
      </c>
      <c r="K1027" s="2">
        <v>5</v>
      </c>
      <c r="L1027" s="2">
        <v>5</v>
      </c>
      <c r="M1027" s="2">
        <v>5</v>
      </c>
      <c r="N1027" s="2"/>
      <c r="O1027" s="2"/>
      <c r="P1027" s="139" t="s">
        <v>10</v>
      </c>
      <c r="Q1027" s="2"/>
    </row>
    <row r="1028" spans="1:17" s="109" customFormat="1">
      <c r="A1028" s="4">
        <v>2653476</v>
      </c>
      <c r="B1028" s="138" t="s">
        <v>947</v>
      </c>
      <c r="C1028" s="4" t="s">
        <v>19</v>
      </c>
      <c r="D1028" s="78" t="s">
        <v>11</v>
      </c>
      <c r="E1028" s="53">
        <v>2</v>
      </c>
      <c r="F1028" s="11">
        <f>SUM(DistMeetingQuota[[#This Row],[Sep]:[Feb]])</f>
        <v>2</v>
      </c>
      <c r="G1028" s="11">
        <f>DistMeetingQuota[[#This Row],[Quota]]-DistMeetingQuota[[#This Row],[Actual]]</f>
        <v>0</v>
      </c>
      <c r="H1028" s="49">
        <f>DistMeetingQuota[[#This Row],[Actual]]/DistMeetingQuota[[#This Row],[Quota]]</f>
        <v>1</v>
      </c>
      <c r="I1028" s="4"/>
      <c r="J1028" s="2">
        <v>2</v>
      </c>
      <c r="K1028" s="2"/>
      <c r="L1028" s="2"/>
      <c r="M1028" s="2"/>
      <c r="N1028" s="2"/>
      <c r="O1028" s="2"/>
      <c r="P1028" s="139" t="s">
        <v>10</v>
      </c>
      <c r="Q1028" s="2"/>
    </row>
    <row r="1029" spans="1:17" s="109" customFormat="1">
      <c r="A1029" s="4">
        <v>2710998</v>
      </c>
      <c r="B1029" s="138" t="s">
        <v>948</v>
      </c>
      <c r="C1029" s="4" t="s">
        <v>19</v>
      </c>
      <c r="D1029" s="78" t="s">
        <v>5</v>
      </c>
      <c r="E1029" s="53">
        <v>24</v>
      </c>
      <c r="F1029" s="11">
        <f>SUM(DistMeetingQuota[[#This Row],[Sep]:[Feb]])</f>
        <v>20</v>
      </c>
      <c r="G1029" s="11">
        <f>DistMeetingQuota[[#This Row],[Quota]]-DistMeetingQuota[[#This Row],[Actual]]</f>
        <v>4</v>
      </c>
      <c r="H1029" s="49">
        <f>DistMeetingQuota[[#This Row],[Actual]]/DistMeetingQuota[[#This Row],[Quota]]</f>
        <v>0.83333333333333337</v>
      </c>
      <c r="I1029" s="4"/>
      <c r="J1029" s="2">
        <v>0</v>
      </c>
      <c r="K1029" s="2"/>
      <c r="L1029" s="2">
        <v>5</v>
      </c>
      <c r="M1029" s="2">
        <v>10</v>
      </c>
      <c r="N1029" s="2">
        <v>5</v>
      </c>
      <c r="O1029" s="2"/>
      <c r="P1029" s="139" t="s">
        <v>10</v>
      </c>
      <c r="Q1029" s="2"/>
    </row>
    <row r="1030" spans="1:17" s="109" customFormat="1">
      <c r="A1030" s="4">
        <v>2710998</v>
      </c>
      <c r="B1030" s="138" t="s">
        <v>948</v>
      </c>
      <c r="C1030" s="4" t="s">
        <v>19</v>
      </c>
      <c r="D1030" s="78" t="s">
        <v>11</v>
      </c>
      <c r="E1030" s="53">
        <v>2</v>
      </c>
      <c r="F1030" s="11">
        <f>SUM(DistMeetingQuota[[#This Row],[Sep]:[Feb]])</f>
        <v>2</v>
      </c>
      <c r="G1030" s="11">
        <f>DistMeetingQuota[[#This Row],[Quota]]-DistMeetingQuota[[#This Row],[Actual]]</f>
        <v>0</v>
      </c>
      <c r="H1030" s="49">
        <f>DistMeetingQuota[[#This Row],[Actual]]/DistMeetingQuota[[#This Row],[Quota]]</f>
        <v>1</v>
      </c>
      <c r="I1030" s="4"/>
      <c r="J1030" s="2">
        <v>2</v>
      </c>
      <c r="K1030" s="2"/>
      <c r="L1030" s="2"/>
      <c r="M1030" s="2"/>
      <c r="N1030" s="2"/>
      <c r="O1030" s="2"/>
      <c r="P1030" s="139" t="s">
        <v>10</v>
      </c>
      <c r="Q1030" s="2"/>
    </row>
    <row r="1031" spans="1:17" s="109" customFormat="1">
      <c r="A1031" s="4">
        <v>2641282</v>
      </c>
      <c r="B1031" s="138" t="s">
        <v>949</v>
      </c>
      <c r="C1031" s="4" t="s">
        <v>19</v>
      </c>
      <c r="D1031" s="78" t="s">
        <v>5</v>
      </c>
      <c r="E1031" s="53">
        <v>24</v>
      </c>
      <c r="F1031" s="11">
        <f>SUM(DistMeetingQuota[[#This Row],[Sep]:[Feb]])</f>
        <v>10</v>
      </c>
      <c r="G1031" s="11">
        <f>DistMeetingQuota[[#This Row],[Quota]]-DistMeetingQuota[[#This Row],[Actual]]</f>
        <v>14</v>
      </c>
      <c r="H1031" s="49">
        <f>DistMeetingQuota[[#This Row],[Actual]]/DistMeetingQuota[[#This Row],[Quota]]</f>
        <v>0.41666666666666669</v>
      </c>
      <c r="I1031" s="4"/>
      <c r="J1031" s="2">
        <v>5</v>
      </c>
      <c r="K1031" s="2"/>
      <c r="L1031" s="2">
        <v>5</v>
      </c>
      <c r="M1031" s="2"/>
      <c r="N1031" s="2"/>
      <c r="O1031" s="2"/>
      <c r="P1031" s="139" t="s">
        <v>10</v>
      </c>
      <c r="Q1031" s="2"/>
    </row>
    <row r="1032" spans="1:17" s="109" customFormat="1">
      <c r="A1032" s="4">
        <v>2641282</v>
      </c>
      <c r="B1032" s="138" t="s">
        <v>949</v>
      </c>
      <c r="C1032" s="4" t="s">
        <v>19</v>
      </c>
      <c r="D1032" s="78" t="s">
        <v>11</v>
      </c>
      <c r="E1032" s="53">
        <v>2</v>
      </c>
      <c r="F1032" s="11">
        <f>SUM(DistMeetingQuota[[#This Row],[Sep]:[Feb]])</f>
        <v>2</v>
      </c>
      <c r="G1032" s="11">
        <f>DistMeetingQuota[[#This Row],[Quota]]-DistMeetingQuota[[#This Row],[Actual]]</f>
        <v>0</v>
      </c>
      <c r="H1032" s="49">
        <f>DistMeetingQuota[[#This Row],[Actual]]/DistMeetingQuota[[#This Row],[Quota]]</f>
        <v>1</v>
      </c>
      <c r="I1032" s="4"/>
      <c r="J1032" s="2">
        <v>1</v>
      </c>
      <c r="K1032" s="2"/>
      <c r="L1032" s="2">
        <v>1</v>
      </c>
      <c r="M1032" s="2"/>
      <c r="N1032" s="2"/>
      <c r="O1032" s="2"/>
      <c r="P1032" s="139" t="s">
        <v>10</v>
      </c>
      <c r="Q1032" s="2"/>
    </row>
    <row r="1033" spans="1:17" s="109" customFormat="1">
      <c r="A1033" s="4">
        <v>2596955</v>
      </c>
      <c r="B1033" s="138" t="s">
        <v>950</v>
      </c>
      <c r="C1033" s="4" t="s">
        <v>19</v>
      </c>
      <c r="D1033" s="78" t="s">
        <v>5</v>
      </c>
      <c r="E1033" s="53">
        <v>24</v>
      </c>
      <c r="F1033" s="11">
        <f>SUM(DistMeetingQuota[[#This Row],[Sep]:[Feb]])</f>
        <v>20</v>
      </c>
      <c r="G1033" s="11">
        <f>DistMeetingQuota[[#This Row],[Quota]]-DistMeetingQuota[[#This Row],[Actual]]</f>
        <v>4</v>
      </c>
      <c r="H1033" s="49">
        <f>DistMeetingQuota[[#This Row],[Actual]]/DistMeetingQuota[[#This Row],[Quota]]</f>
        <v>0.83333333333333337</v>
      </c>
      <c r="I1033" s="4"/>
      <c r="J1033" s="2">
        <v>5</v>
      </c>
      <c r="K1033" s="2">
        <v>10</v>
      </c>
      <c r="L1033" s="2">
        <v>5</v>
      </c>
      <c r="M1033" s="2"/>
      <c r="N1033" s="2"/>
      <c r="O1033" s="2"/>
      <c r="P1033" s="139" t="s">
        <v>10</v>
      </c>
      <c r="Q1033" s="2"/>
    </row>
    <row r="1034" spans="1:17" s="109" customFormat="1">
      <c r="A1034" s="4">
        <v>2596955</v>
      </c>
      <c r="B1034" s="138" t="s">
        <v>950</v>
      </c>
      <c r="C1034" s="4" t="s">
        <v>19</v>
      </c>
      <c r="D1034" s="78" t="s">
        <v>11</v>
      </c>
      <c r="E1034" s="53">
        <v>2</v>
      </c>
      <c r="F1034" s="11">
        <f>SUM(DistMeetingQuota[[#This Row],[Sep]:[Feb]])</f>
        <v>1</v>
      </c>
      <c r="G1034" s="11">
        <f>DistMeetingQuota[[#This Row],[Quota]]-DistMeetingQuota[[#This Row],[Actual]]</f>
        <v>1</v>
      </c>
      <c r="H1034" s="49">
        <f>DistMeetingQuota[[#This Row],[Actual]]/DistMeetingQuota[[#This Row],[Quota]]</f>
        <v>0.5</v>
      </c>
      <c r="I1034" s="4"/>
      <c r="J1034" s="2"/>
      <c r="K1034" s="2"/>
      <c r="L1034" s="2">
        <v>1</v>
      </c>
      <c r="M1034" s="2"/>
      <c r="N1034" s="2"/>
      <c r="O1034" s="2"/>
      <c r="P1034" s="139" t="s">
        <v>10</v>
      </c>
      <c r="Q1034" s="2"/>
    </row>
    <row r="1035" spans="1:17" s="109" customFormat="1">
      <c r="A1035" s="452">
        <v>2702075</v>
      </c>
      <c r="B1035" s="453" t="s">
        <v>1126</v>
      </c>
      <c r="C1035" s="452" t="s">
        <v>19</v>
      </c>
      <c r="D1035" s="454" t="s">
        <v>5</v>
      </c>
      <c r="E1035" s="455">
        <v>24</v>
      </c>
      <c r="F1035" s="456">
        <f>SUM(DistMeetingQuota[[#This Row],[Sep]:[Feb]])</f>
        <v>15</v>
      </c>
      <c r="G1035" s="456">
        <f>DistMeetingQuota[[#This Row],[Quota]]-DistMeetingQuota[[#This Row],[Actual]]</f>
        <v>9</v>
      </c>
      <c r="H1035" s="457">
        <f>DistMeetingQuota[[#This Row],[Actual]]/DistMeetingQuota[[#This Row],[Quota]]</f>
        <v>0.625</v>
      </c>
      <c r="I1035" s="452"/>
      <c r="J1035" s="458"/>
      <c r="K1035" s="458"/>
      <c r="L1035" s="458"/>
      <c r="M1035" s="458">
        <v>10</v>
      </c>
      <c r="N1035" s="458">
        <v>5</v>
      </c>
      <c r="O1035" s="458"/>
      <c r="P1035" s="459" t="s">
        <v>10</v>
      </c>
      <c r="Q1035" s="458"/>
    </row>
    <row r="1036" spans="1:17" s="109" customFormat="1">
      <c r="A1036" s="452">
        <v>2702075</v>
      </c>
      <c r="B1036" s="453" t="s">
        <v>1126</v>
      </c>
      <c r="C1036" s="452" t="s">
        <v>19</v>
      </c>
      <c r="D1036" s="454" t="s">
        <v>11</v>
      </c>
      <c r="E1036" s="455">
        <v>2</v>
      </c>
      <c r="F1036" s="456">
        <f>SUM(DistMeetingQuota[[#This Row],[Sep]:[Feb]])</f>
        <v>0</v>
      </c>
      <c r="G1036" s="456">
        <f>DistMeetingQuota[[#This Row],[Quota]]-DistMeetingQuota[[#This Row],[Actual]]</f>
        <v>2</v>
      </c>
      <c r="H1036" s="457">
        <f>DistMeetingQuota[[#This Row],[Actual]]/DistMeetingQuota[[#This Row],[Quota]]</f>
        <v>0</v>
      </c>
      <c r="I1036" s="452"/>
      <c r="J1036" s="458"/>
      <c r="K1036" s="458"/>
      <c r="L1036" s="458"/>
      <c r="M1036" s="458"/>
      <c r="N1036" s="458"/>
      <c r="O1036" s="458"/>
      <c r="P1036" s="459" t="s">
        <v>10</v>
      </c>
      <c r="Q1036" s="458"/>
    </row>
    <row r="1037" spans="1:17" s="109" customFormat="1">
      <c r="A1037" s="452">
        <v>2702062</v>
      </c>
      <c r="B1037" s="453" t="s">
        <v>1127</v>
      </c>
      <c r="C1037" s="452" t="s">
        <v>19</v>
      </c>
      <c r="D1037" s="454" t="s">
        <v>5</v>
      </c>
      <c r="E1037" s="455">
        <v>24</v>
      </c>
      <c r="F1037" s="456">
        <f>SUM(DistMeetingQuota[[#This Row],[Sep]:[Feb]])</f>
        <v>15</v>
      </c>
      <c r="G1037" s="456">
        <f>DistMeetingQuota[[#This Row],[Quota]]-DistMeetingQuota[[#This Row],[Actual]]</f>
        <v>9</v>
      </c>
      <c r="H1037" s="457">
        <f>DistMeetingQuota[[#This Row],[Actual]]/DistMeetingQuota[[#This Row],[Quota]]</f>
        <v>0.625</v>
      </c>
      <c r="I1037" s="452"/>
      <c r="J1037" s="458"/>
      <c r="K1037" s="458"/>
      <c r="L1037" s="458"/>
      <c r="M1037" s="458">
        <v>5</v>
      </c>
      <c r="N1037" s="458">
        <v>10</v>
      </c>
      <c r="O1037" s="458"/>
      <c r="P1037" s="459" t="s">
        <v>10</v>
      </c>
      <c r="Q1037" s="458"/>
    </row>
    <row r="1038" spans="1:17" s="109" customFormat="1">
      <c r="A1038" s="452">
        <v>2702062</v>
      </c>
      <c r="B1038" s="453" t="s">
        <v>1127</v>
      </c>
      <c r="C1038" s="452" t="s">
        <v>19</v>
      </c>
      <c r="D1038" s="454" t="s">
        <v>11</v>
      </c>
      <c r="E1038" s="455">
        <v>2</v>
      </c>
      <c r="F1038" s="456">
        <f>SUM(DistMeetingQuota[[#This Row],[Sep]:[Feb]])</f>
        <v>0</v>
      </c>
      <c r="G1038" s="456">
        <f>DistMeetingQuota[[#This Row],[Quota]]-DistMeetingQuota[[#This Row],[Actual]]</f>
        <v>2</v>
      </c>
      <c r="H1038" s="457">
        <f>DistMeetingQuota[[#This Row],[Actual]]/DistMeetingQuota[[#This Row],[Quota]]</f>
        <v>0</v>
      </c>
      <c r="I1038" s="452"/>
      <c r="J1038" s="458"/>
      <c r="K1038" s="458"/>
      <c r="L1038" s="458"/>
      <c r="M1038" s="458"/>
      <c r="N1038" s="458"/>
      <c r="O1038" s="458"/>
      <c r="P1038" s="459" t="s">
        <v>10</v>
      </c>
      <c r="Q1038" s="458"/>
    </row>
    <row r="1039" spans="1:17" s="109" customFormat="1" ht="30">
      <c r="A1039" s="4">
        <v>2927728</v>
      </c>
      <c r="B1039" s="138" t="s">
        <v>957</v>
      </c>
      <c r="C1039" s="4" t="s">
        <v>19</v>
      </c>
      <c r="D1039" s="78" t="s">
        <v>5</v>
      </c>
      <c r="E1039" s="53">
        <v>24</v>
      </c>
      <c r="F1039" s="11">
        <f>SUM(DistMeetingQuota[[#This Row],[Sep]:[Feb]])</f>
        <v>20</v>
      </c>
      <c r="G1039" s="11">
        <f>DistMeetingQuota[[#This Row],[Quota]]-DistMeetingQuota[[#This Row],[Actual]]</f>
        <v>4</v>
      </c>
      <c r="H1039" s="49">
        <f>DistMeetingQuota[[#This Row],[Actual]]/DistMeetingQuota[[#This Row],[Quota]]</f>
        <v>0.83333333333333337</v>
      </c>
      <c r="I1039" s="4"/>
      <c r="J1039" s="2">
        <v>4</v>
      </c>
      <c r="K1039" s="2">
        <v>4</v>
      </c>
      <c r="L1039" s="2">
        <v>4</v>
      </c>
      <c r="M1039" s="2">
        <v>4</v>
      </c>
      <c r="N1039" s="2">
        <v>4</v>
      </c>
      <c r="O1039" s="2"/>
      <c r="P1039" s="139" t="s">
        <v>14</v>
      </c>
      <c r="Q1039" s="2"/>
    </row>
    <row r="1040" spans="1:17" s="109" customFormat="1">
      <c r="A1040" s="4">
        <v>2071056</v>
      </c>
      <c r="B1040" s="138" t="s">
        <v>959</v>
      </c>
      <c r="C1040" s="4" t="s">
        <v>19</v>
      </c>
      <c r="D1040" s="78" t="s">
        <v>11</v>
      </c>
      <c r="E1040" s="53">
        <v>2</v>
      </c>
      <c r="F1040" s="11">
        <f>SUM(DistMeetingQuota[[#This Row],[Sep]:[Feb]])</f>
        <v>2</v>
      </c>
      <c r="G1040" s="11">
        <f>DistMeetingQuota[[#This Row],[Quota]]-DistMeetingQuota[[#This Row],[Actual]]</f>
        <v>0</v>
      </c>
      <c r="H1040" s="49">
        <f>DistMeetingQuota[[#This Row],[Actual]]/DistMeetingQuota[[#This Row],[Quota]]</f>
        <v>1</v>
      </c>
      <c r="I1040" s="4"/>
      <c r="J1040" s="2">
        <v>2</v>
      </c>
      <c r="K1040" s="2"/>
      <c r="L1040" s="2"/>
      <c r="M1040" s="2"/>
      <c r="N1040" s="2"/>
      <c r="O1040" s="2"/>
      <c r="P1040" s="139" t="s">
        <v>10</v>
      </c>
      <c r="Q1040" s="2"/>
    </row>
    <row r="1041" spans="1:17" s="109" customFormat="1">
      <c r="A1041" s="4">
        <v>2020659</v>
      </c>
      <c r="B1041" s="138" t="s">
        <v>960</v>
      </c>
      <c r="C1041" s="4" t="s">
        <v>19</v>
      </c>
      <c r="D1041" s="78" t="s">
        <v>11</v>
      </c>
      <c r="E1041" s="53">
        <v>2</v>
      </c>
      <c r="F1041" s="11">
        <f>SUM(DistMeetingQuota[[#This Row],[Sep]:[Feb]])</f>
        <v>2</v>
      </c>
      <c r="G1041" s="11">
        <f>DistMeetingQuota[[#This Row],[Quota]]-DistMeetingQuota[[#This Row],[Actual]]</f>
        <v>0</v>
      </c>
      <c r="H1041" s="49">
        <f>DistMeetingQuota[[#This Row],[Actual]]/DistMeetingQuota[[#This Row],[Quota]]</f>
        <v>1</v>
      </c>
      <c r="I1041" s="4"/>
      <c r="J1041" s="2">
        <v>2</v>
      </c>
      <c r="K1041" s="2"/>
      <c r="L1041" s="2"/>
      <c r="M1041" s="2"/>
      <c r="N1041" s="2"/>
      <c r="O1041" s="2"/>
      <c r="P1041" s="139" t="s">
        <v>10</v>
      </c>
      <c r="Q1041" s="2"/>
    </row>
    <row r="1042" spans="1:17" s="109" customFormat="1" ht="30">
      <c r="A1042" s="4">
        <v>2335075</v>
      </c>
      <c r="B1042" s="138" t="s">
        <v>961</v>
      </c>
      <c r="C1042" s="4" t="s">
        <v>19</v>
      </c>
      <c r="D1042" s="78" t="s">
        <v>11</v>
      </c>
      <c r="E1042" s="53">
        <v>2</v>
      </c>
      <c r="F1042" s="11">
        <f>SUM(DistMeetingQuota[[#This Row],[Sep]:[Feb]])</f>
        <v>2</v>
      </c>
      <c r="G1042" s="11">
        <f>DistMeetingQuota[[#This Row],[Quota]]-DistMeetingQuota[[#This Row],[Actual]]</f>
        <v>0</v>
      </c>
      <c r="H1042" s="49">
        <f>DistMeetingQuota[[#This Row],[Actual]]/DistMeetingQuota[[#This Row],[Quota]]</f>
        <v>1</v>
      </c>
      <c r="I1042" s="4"/>
      <c r="J1042" s="2">
        <v>1</v>
      </c>
      <c r="K1042" s="2">
        <v>1</v>
      </c>
      <c r="L1042" s="2"/>
      <c r="M1042" s="2"/>
      <c r="N1042" s="2"/>
      <c r="O1042" s="2"/>
      <c r="P1042" s="139" t="s">
        <v>10</v>
      </c>
      <c r="Q1042" s="2"/>
    </row>
    <row r="1043" spans="1:17" s="109" customFormat="1" ht="30">
      <c r="A1043" s="4">
        <v>2295525</v>
      </c>
      <c r="B1043" s="138" t="s">
        <v>962</v>
      </c>
      <c r="C1043" s="4" t="s">
        <v>19</v>
      </c>
      <c r="D1043" s="78" t="s">
        <v>11</v>
      </c>
      <c r="E1043" s="53">
        <v>2</v>
      </c>
      <c r="F1043" s="11">
        <f>SUM(DistMeetingQuota[[#This Row],[Sep]:[Feb]])</f>
        <v>2</v>
      </c>
      <c r="G1043" s="11">
        <f>DistMeetingQuota[[#This Row],[Quota]]-DistMeetingQuota[[#This Row],[Actual]]</f>
        <v>0</v>
      </c>
      <c r="H1043" s="49">
        <f>DistMeetingQuota[[#This Row],[Actual]]/DistMeetingQuota[[#This Row],[Quota]]</f>
        <v>1</v>
      </c>
      <c r="I1043" s="4"/>
      <c r="J1043" s="2">
        <v>1</v>
      </c>
      <c r="K1043" s="2">
        <v>1</v>
      </c>
      <c r="L1043" s="2"/>
      <c r="M1043" s="2"/>
      <c r="N1043" s="2"/>
      <c r="O1043" s="2"/>
      <c r="P1043" s="139" t="s">
        <v>473</v>
      </c>
      <c r="Q1043" s="2"/>
    </row>
    <row r="1044" spans="1:17" s="109" customFormat="1">
      <c r="A1044" s="4">
        <v>2420922</v>
      </c>
      <c r="B1044" s="138" t="s">
        <v>963</v>
      </c>
      <c r="C1044" s="4" t="s">
        <v>19</v>
      </c>
      <c r="D1044" s="78" t="s">
        <v>11</v>
      </c>
      <c r="E1044" s="53">
        <v>2</v>
      </c>
      <c r="F1044" s="11">
        <f>SUM(DistMeetingQuota[[#This Row],[Sep]:[Feb]])</f>
        <v>1</v>
      </c>
      <c r="G1044" s="11">
        <f>DistMeetingQuota[[#This Row],[Quota]]-DistMeetingQuota[[#This Row],[Actual]]</f>
        <v>1</v>
      </c>
      <c r="H1044" s="49">
        <f>DistMeetingQuota[[#This Row],[Actual]]/DistMeetingQuota[[#This Row],[Quota]]</f>
        <v>0.5</v>
      </c>
      <c r="I1044" s="4"/>
      <c r="J1044" s="2">
        <v>1</v>
      </c>
      <c r="K1044" s="2"/>
      <c r="L1044" s="2"/>
      <c r="M1044" s="2"/>
      <c r="N1044" s="2"/>
      <c r="O1044" s="2"/>
      <c r="P1044" s="139" t="s">
        <v>10</v>
      </c>
      <c r="Q1044" s="2"/>
    </row>
    <row r="1045" spans="1:17" s="109" customFormat="1">
      <c r="A1045" s="4">
        <v>2387621</v>
      </c>
      <c r="B1045" s="138" t="s">
        <v>964</v>
      </c>
      <c r="C1045" s="4" t="s">
        <v>19</v>
      </c>
      <c r="D1045" s="78" t="s">
        <v>11</v>
      </c>
      <c r="E1045" s="53">
        <v>2</v>
      </c>
      <c r="F1045" s="11">
        <f>SUM(DistMeetingQuota[[#This Row],[Sep]:[Feb]])</f>
        <v>2</v>
      </c>
      <c r="G1045" s="11">
        <f>DistMeetingQuota[[#This Row],[Quota]]-DistMeetingQuota[[#This Row],[Actual]]</f>
        <v>0</v>
      </c>
      <c r="H1045" s="49">
        <f>DistMeetingQuota[[#This Row],[Actual]]/DistMeetingQuota[[#This Row],[Quota]]</f>
        <v>1</v>
      </c>
      <c r="I1045" s="4"/>
      <c r="J1045" s="2">
        <v>2</v>
      </c>
      <c r="K1045" s="2"/>
      <c r="L1045" s="2"/>
      <c r="M1045" s="2"/>
      <c r="N1045" s="2"/>
      <c r="O1045" s="2"/>
      <c r="P1045" s="139" t="s">
        <v>10</v>
      </c>
      <c r="Q1045" s="2"/>
    </row>
    <row r="1046" spans="1:17" s="109" customFormat="1" ht="30">
      <c r="A1046" s="4">
        <v>2283633</v>
      </c>
      <c r="B1046" s="138" t="s">
        <v>965</v>
      </c>
      <c r="C1046" s="4" t="s">
        <v>19</v>
      </c>
      <c r="D1046" s="78" t="s">
        <v>11</v>
      </c>
      <c r="E1046" s="53">
        <v>2</v>
      </c>
      <c r="F1046" s="11">
        <f>SUM(DistMeetingQuota[[#This Row],[Sep]:[Feb]])</f>
        <v>2</v>
      </c>
      <c r="G1046" s="11">
        <f>DistMeetingQuota[[#This Row],[Quota]]-DistMeetingQuota[[#This Row],[Actual]]</f>
        <v>0</v>
      </c>
      <c r="H1046" s="49">
        <f>DistMeetingQuota[[#This Row],[Actual]]/DistMeetingQuota[[#This Row],[Quota]]</f>
        <v>1</v>
      </c>
      <c r="I1046" s="4"/>
      <c r="J1046" s="2">
        <v>2</v>
      </c>
      <c r="K1046" s="2"/>
      <c r="L1046" s="2"/>
      <c r="M1046" s="2"/>
      <c r="N1046" s="2"/>
      <c r="O1046" s="2"/>
      <c r="P1046" s="139" t="s">
        <v>10</v>
      </c>
      <c r="Q1046" s="2"/>
    </row>
    <row r="1047" spans="1:17" s="109" customFormat="1" ht="30">
      <c r="A1047" s="4">
        <v>2638192</v>
      </c>
      <c r="B1047" s="138" t="s">
        <v>966</v>
      </c>
      <c r="C1047" s="4" t="s">
        <v>19</v>
      </c>
      <c r="D1047" s="78" t="s">
        <v>11</v>
      </c>
      <c r="E1047" s="53">
        <v>2</v>
      </c>
      <c r="F1047" s="11">
        <f>SUM(DistMeetingQuota[[#This Row],[Sep]:[Feb]])</f>
        <v>2</v>
      </c>
      <c r="G1047" s="11">
        <f>DistMeetingQuota[[#This Row],[Quota]]-DistMeetingQuota[[#This Row],[Actual]]</f>
        <v>0</v>
      </c>
      <c r="H1047" s="49">
        <f>DistMeetingQuota[[#This Row],[Actual]]/DistMeetingQuota[[#This Row],[Quota]]</f>
        <v>1</v>
      </c>
      <c r="I1047" s="4"/>
      <c r="J1047" s="2">
        <v>2</v>
      </c>
      <c r="K1047" s="2"/>
      <c r="L1047" s="2"/>
      <c r="M1047" s="2"/>
      <c r="N1047" s="2"/>
      <c r="O1047" s="2"/>
      <c r="P1047" s="139" t="s">
        <v>57</v>
      </c>
      <c r="Q1047" s="2"/>
    </row>
    <row r="1048" spans="1:17" s="109" customFormat="1" ht="30">
      <c r="A1048" s="4">
        <v>2650551</v>
      </c>
      <c r="B1048" s="138" t="s">
        <v>967</v>
      </c>
      <c r="C1048" s="4" t="s">
        <v>19</v>
      </c>
      <c r="D1048" s="78" t="s">
        <v>11</v>
      </c>
      <c r="E1048" s="53">
        <v>2</v>
      </c>
      <c r="F1048" s="11">
        <f>SUM(DistMeetingQuota[[#This Row],[Sep]:[Feb]])</f>
        <v>2</v>
      </c>
      <c r="G1048" s="11">
        <f>DistMeetingQuota[[#This Row],[Quota]]-DistMeetingQuota[[#This Row],[Actual]]</f>
        <v>0</v>
      </c>
      <c r="H1048" s="49">
        <f>DistMeetingQuota[[#This Row],[Actual]]/DistMeetingQuota[[#This Row],[Quota]]</f>
        <v>1</v>
      </c>
      <c r="I1048" s="4"/>
      <c r="J1048" s="2">
        <v>2</v>
      </c>
      <c r="K1048" s="2"/>
      <c r="L1048" s="2"/>
      <c r="M1048" s="2"/>
      <c r="N1048" s="2"/>
      <c r="O1048" s="2"/>
      <c r="P1048" s="139" t="s">
        <v>57</v>
      </c>
      <c r="Q1048" s="2"/>
    </row>
    <row r="1049" spans="1:17" s="109" customFormat="1" ht="30">
      <c r="A1049" s="4">
        <v>2677160</v>
      </c>
      <c r="B1049" s="138" t="s">
        <v>968</v>
      </c>
      <c r="C1049" s="4" t="s">
        <v>19</v>
      </c>
      <c r="D1049" s="78" t="s">
        <v>11</v>
      </c>
      <c r="E1049" s="53">
        <v>2</v>
      </c>
      <c r="F1049" s="11">
        <f>SUM(DistMeetingQuota[[#This Row],[Sep]:[Feb]])</f>
        <v>1</v>
      </c>
      <c r="G1049" s="11">
        <f>DistMeetingQuota[[#This Row],[Quota]]-DistMeetingQuota[[#This Row],[Actual]]</f>
        <v>1</v>
      </c>
      <c r="H1049" s="49">
        <f>DistMeetingQuota[[#This Row],[Actual]]/DistMeetingQuota[[#This Row],[Quota]]</f>
        <v>0.5</v>
      </c>
      <c r="I1049" s="4"/>
      <c r="J1049" s="2">
        <v>1</v>
      </c>
      <c r="K1049" s="2"/>
      <c r="L1049" s="2"/>
      <c r="M1049" s="2"/>
      <c r="N1049" s="2"/>
      <c r="O1049" s="2"/>
      <c r="P1049" s="139" t="s">
        <v>57</v>
      </c>
      <c r="Q1049" s="2"/>
    </row>
    <row r="1050" spans="1:17" s="109" customFormat="1">
      <c r="A1050" s="4">
        <v>2646853</v>
      </c>
      <c r="B1050" s="138" t="s">
        <v>969</v>
      </c>
      <c r="C1050" s="4" t="s">
        <v>19</v>
      </c>
      <c r="D1050" s="78" t="s">
        <v>5</v>
      </c>
      <c r="E1050" s="53">
        <v>24</v>
      </c>
      <c r="F1050" s="11">
        <f>SUM(DistMeetingQuota[[#This Row],[Sep]:[Feb]])</f>
        <v>8</v>
      </c>
      <c r="G1050" s="11">
        <f>DistMeetingQuota[[#This Row],[Quota]]-DistMeetingQuota[[#This Row],[Actual]]</f>
        <v>16</v>
      </c>
      <c r="H1050" s="49">
        <f>DistMeetingQuota[[#This Row],[Actual]]/DistMeetingQuota[[#This Row],[Quota]]</f>
        <v>0.33333333333333331</v>
      </c>
      <c r="I1050" s="4"/>
      <c r="J1050" s="2">
        <v>4</v>
      </c>
      <c r="K1050" s="2"/>
      <c r="L1050" s="2">
        <v>4</v>
      </c>
      <c r="M1050" s="2"/>
      <c r="N1050" s="2"/>
      <c r="O1050" s="2"/>
      <c r="P1050" s="139" t="s">
        <v>4</v>
      </c>
      <c r="Q1050" s="2"/>
    </row>
    <row r="1051" spans="1:17" s="109" customFormat="1">
      <c r="A1051" s="4">
        <v>2008788</v>
      </c>
      <c r="B1051" s="138" t="s">
        <v>971</v>
      </c>
      <c r="C1051" s="4" t="s">
        <v>19</v>
      </c>
      <c r="D1051" s="78" t="s">
        <v>11</v>
      </c>
      <c r="E1051" s="53">
        <v>2</v>
      </c>
      <c r="F1051" s="11">
        <f>SUM(DistMeetingQuota[[#This Row],[Sep]:[Feb]])</f>
        <v>1</v>
      </c>
      <c r="G1051" s="11">
        <f>DistMeetingQuota[[#This Row],[Quota]]-DistMeetingQuota[[#This Row],[Actual]]</f>
        <v>1</v>
      </c>
      <c r="H1051" s="49">
        <f>DistMeetingQuota[[#This Row],[Actual]]/DistMeetingQuota[[#This Row],[Quota]]</f>
        <v>0.5</v>
      </c>
      <c r="I1051" s="4"/>
      <c r="J1051" s="2">
        <v>1</v>
      </c>
      <c r="K1051" s="2"/>
      <c r="L1051" s="2"/>
      <c r="M1051" s="2"/>
      <c r="N1051" s="2"/>
      <c r="O1051" s="2"/>
      <c r="P1051" s="139" t="s">
        <v>6</v>
      </c>
      <c r="Q1051" s="2"/>
    </row>
    <row r="1052" spans="1:17" s="109" customFormat="1">
      <c r="A1052" s="4">
        <v>2079092</v>
      </c>
      <c r="B1052" s="138" t="s">
        <v>972</v>
      </c>
      <c r="C1052" s="4" t="s">
        <v>19</v>
      </c>
      <c r="D1052" s="78" t="s">
        <v>5</v>
      </c>
      <c r="E1052" s="53">
        <v>24</v>
      </c>
      <c r="F1052" s="11">
        <f>SUM(DistMeetingQuota[[#This Row],[Sep]:[Feb]])</f>
        <v>4</v>
      </c>
      <c r="G1052" s="11">
        <f>DistMeetingQuota[[#This Row],[Quota]]-DistMeetingQuota[[#This Row],[Actual]]</f>
        <v>20</v>
      </c>
      <c r="H1052" s="49">
        <f>DistMeetingQuota[[#This Row],[Actual]]/DistMeetingQuota[[#This Row],[Quota]]</f>
        <v>0.16666666666666666</v>
      </c>
      <c r="I1052" s="4"/>
      <c r="J1052" s="2">
        <v>4</v>
      </c>
      <c r="K1052" s="2"/>
      <c r="L1052" s="2"/>
      <c r="M1052" s="2"/>
      <c r="N1052" s="2"/>
      <c r="O1052" s="2"/>
      <c r="P1052" s="139" t="s">
        <v>6</v>
      </c>
      <c r="Q1052" s="2"/>
    </row>
    <row r="1053" spans="1:17" s="109" customFormat="1">
      <c r="A1053" s="4">
        <v>2079092</v>
      </c>
      <c r="B1053" s="138" t="s">
        <v>972</v>
      </c>
      <c r="C1053" s="4" t="s">
        <v>19</v>
      </c>
      <c r="D1053" s="78" t="s">
        <v>11</v>
      </c>
      <c r="E1053" s="53">
        <v>2</v>
      </c>
      <c r="F1053" s="11">
        <f>SUM(DistMeetingQuota[[#This Row],[Sep]:[Feb]])</f>
        <v>2</v>
      </c>
      <c r="G1053" s="11">
        <f>DistMeetingQuota[[#This Row],[Quota]]-DistMeetingQuota[[#This Row],[Actual]]</f>
        <v>0</v>
      </c>
      <c r="H1053" s="49">
        <f>DistMeetingQuota[[#This Row],[Actual]]/DistMeetingQuota[[#This Row],[Quota]]</f>
        <v>1</v>
      </c>
      <c r="I1053" s="4"/>
      <c r="J1053" s="2">
        <v>1</v>
      </c>
      <c r="K1053" s="2"/>
      <c r="L1053" s="2">
        <v>1</v>
      </c>
      <c r="M1053" s="2"/>
      <c r="N1053" s="2"/>
      <c r="O1053" s="2"/>
      <c r="P1053" s="139" t="s">
        <v>6</v>
      </c>
      <c r="Q1053" s="2"/>
    </row>
    <row r="1054" spans="1:17" s="109" customFormat="1">
      <c r="A1054" s="4">
        <v>2058971</v>
      </c>
      <c r="B1054" s="138" t="s">
        <v>973</v>
      </c>
      <c r="C1054" s="4" t="s">
        <v>19</v>
      </c>
      <c r="D1054" s="78" t="s">
        <v>11</v>
      </c>
      <c r="E1054" s="53">
        <v>2</v>
      </c>
      <c r="F1054" s="11">
        <f>SUM(DistMeetingQuota[[#This Row],[Sep]:[Feb]])</f>
        <v>2</v>
      </c>
      <c r="G1054" s="11">
        <f>DistMeetingQuota[[#This Row],[Quota]]-DistMeetingQuota[[#This Row],[Actual]]</f>
        <v>0</v>
      </c>
      <c r="H1054" s="49">
        <f>DistMeetingQuota[[#This Row],[Actual]]/DistMeetingQuota[[#This Row],[Quota]]</f>
        <v>1</v>
      </c>
      <c r="I1054" s="4"/>
      <c r="J1054" s="2">
        <v>1</v>
      </c>
      <c r="K1054" s="2"/>
      <c r="L1054" s="2">
        <v>1</v>
      </c>
      <c r="M1054" s="2"/>
      <c r="N1054" s="2"/>
      <c r="O1054" s="2"/>
      <c r="P1054" s="139" t="s">
        <v>6</v>
      </c>
      <c r="Q1054" s="2"/>
    </row>
    <row r="1055" spans="1:17" s="109" customFormat="1" ht="30">
      <c r="A1055" s="4">
        <v>2456794</v>
      </c>
      <c r="B1055" s="138" t="s">
        <v>974</v>
      </c>
      <c r="C1055" s="4" t="s">
        <v>19</v>
      </c>
      <c r="D1055" s="78" t="s">
        <v>5</v>
      </c>
      <c r="E1055" s="53">
        <v>24</v>
      </c>
      <c r="F1055" s="11">
        <f>SUM(DistMeetingQuota[[#This Row],[Sep]:[Feb]])</f>
        <v>9</v>
      </c>
      <c r="G1055" s="11">
        <f>DistMeetingQuota[[#This Row],[Quota]]-DistMeetingQuota[[#This Row],[Actual]]</f>
        <v>15</v>
      </c>
      <c r="H1055" s="49">
        <f>DistMeetingQuota[[#This Row],[Actual]]/DistMeetingQuota[[#This Row],[Quota]]</f>
        <v>0.375</v>
      </c>
      <c r="I1055" s="4"/>
      <c r="J1055" s="2">
        <v>3</v>
      </c>
      <c r="K1055" s="2">
        <v>2</v>
      </c>
      <c r="L1055" s="2">
        <v>3</v>
      </c>
      <c r="M1055" s="2">
        <v>1</v>
      </c>
      <c r="N1055" s="2"/>
      <c r="O1055" s="2"/>
      <c r="P1055" s="139" t="s">
        <v>698</v>
      </c>
      <c r="Q1055" s="2"/>
    </row>
    <row r="1056" spans="1:17" s="109" customFormat="1" ht="30">
      <c r="A1056" s="4">
        <v>2562322</v>
      </c>
      <c r="B1056" s="138" t="s">
        <v>975</v>
      </c>
      <c r="C1056" s="4" t="s">
        <v>19</v>
      </c>
      <c r="D1056" s="78" t="s">
        <v>11</v>
      </c>
      <c r="E1056" s="53">
        <v>2</v>
      </c>
      <c r="F1056" s="11">
        <f>SUM(DistMeetingQuota[[#This Row],[Sep]:[Feb]])</f>
        <v>2</v>
      </c>
      <c r="G1056" s="11">
        <f>DistMeetingQuota[[#This Row],[Quota]]-DistMeetingQuota[[#This Row],[Actual]]</f>
        <v>0</v>
      </c>
      <c r="H1056" s="49">
        <f>DistMeetingQuota[[#This Row],[Actual]]/DistMeetingQuota[[#This Row],[Quota]]</f>
        <v>1</v>
      </c>
      <c r="I1056" s="4"/>
      <c r="J1056" s="2"/>
      <c r="K1056" s="2">
        <v>2</v>
      </c>
      <c r="L1056" s="2"/>
      <c r="M1056" s="2"/>
      <c r="N1056" s="2"/>
      <c r="O1056" s="2"/>
      <c r="P1056" s="139" t="s">
        <v>62</v>
      </c>
      <c r="Q1056" s="2"/>
    </row>
    <row r="1057" spans="1:17" s="109" customFormat="1" ht="30">
      <c r="A1057" s="4">
        <v>2696328</v>
      </c>
      <c r="B1057" s="138" t="s">
        <v>976</v>
      </c>
      <c r="C1057" s="4" t="s">
        <v>19</v>
      </c>
      <c r="D1057" s="78" t="s">
        <v>11</v>
      </c>
      <c r="E1057" s="53">
        <v>2</v>
      </c>
      <c r="F1057" s="11">
        <f>SUM(DistMeetingQuota[[#This Row],[Sep]:[Feb]])</f>
        <v>1</v>
      </c>
      <c r="G1057" s="11">
        <f>DistMeetingQuota[[#This Row],[Quota]]-DistMeetingQuota[[#This Row],[Actual]]</f>
        <v>1</v>
      </c>
      <c r="H1057" s="49">
        <f>DistMeetingQuota[[#This Row],[Actual]]/DistMeetingQuota[[#This Row],[Quota]]</f>
        <v>0.5</v>
      </c>
      <c r="I1057" s="4"/>
      <c r="J1057" s="2"/>
      <c r="K1057" s="2">
        <v>1</v>
      </c>
      <c r="L1057" s="2"/>
      <c r="M1057" s="2"/>
      <c r="N1057" s="2"/>
      <c r="O1057" s="2"/>
      <c r="P1057" s="139" t="s">
        <v>62</v>
      </c>
      <c r="Q1057" s="2"/>
    </row>
    <row r="1058" spans="1:17" s="109" customFormat="1">
      <c r="A1058" s="337">
        <v>2223706</v>
      </c>
      <c r="B1058" s="338" t="s">
        <v>977</v>
      </c>
      <c r="C1058" s="4" t="s">
        <v>19</v>
      </c>
      <c r="D1058" s="78" t="s">
        <v>11</v>
      </c>
      <c r="E1058" s="53">
        <v>2</v>
      </c>
      <c r="F1058" s="11">
        <f>SUM(DistMeetingQuota[[#This Row],[Sep]:[Feb]])</f>
        <v>1</v>
      </c>
      <c r="G1058" s="11">
        <f>DistMeetingQuota[[#This Row],[Quota]]-DistMeetingQuota[[#This Row],[Actual]]</f>
        <v>1</v>
      </c>
      <c r="H1058" s="49">
        <f>DistMeetingQuota[[#This Row],[Actual]]/DistMeetingQuota[[#This Row],[Quota]]</f>
        <v>0.5</v>
      </c>
      <c r="I1058" s="4"/>
      <c r="J1058" s="2"/>
      <c r="K1058" s="2">
        <v>1</v>
      </c>
      <c r="L1058" s="2"/>
      <c r="M1058" s="2"/>
      <c r="N1058" s="2"/>
      <c r="O1058" s="2"/>
      <c r="P1058" s="120"/>
      <c r="Q1058" s="2"/>
    </row>
    <row r="1059" spans="1:17" s="109" customFormat="1">
      <c r="A1059" s="337">
        <v>2223706</v>
      </c>
      <c r="B1059" s="338" t="s">
        <v>977</v>
      </c>
      <c r="C1059" s="337" t="s">
        <v>19</v>
      </c>
      <c r="D1059" s="339" t="s">
        <v>5</v>
      </c>
      <c r="E1059" s="340">
        <v>24</v>
      </c>
      <c r="F1059" s="341">
        <f>SUM(DistMeetingQuota[[#This Row],[Sep]:[Feb]])</f>
        <v>24</v>
      </c>
      <c r="G1059" s="341">
        <f>DistMeetingQuota[[#This Row],[Quota]]-DistMeetingQuota[[#This Row],[Actual]]</f>
        <v>0</v>
      </c>
      <c r="H1059" s="342">
        <f>DistMeetingQuota[[#This Row],[Actual]]/DistMeetingQuota[[#This Row],[Quota]]</f>
        <v>1</v>
      </c>
      <c r="I1059" s="337"/>
      <c r="J1059" s="343">
        <v>4</v>
      </c>
      <c r="K1059" s="343">
        <v>4</v>
      </c>
      <c r="L1059" s="343">
        <v>8</v>
      </c>
      <c r="M1059" s="343">
        <v>4</v>
      </c>
      <c r="N1059" s="343">
        <v>4</v>
      </c>
      <c r="O1059" s="343"/>
      <c r="P1059" s="344" t="s">
        <v>57</v>
      </c>
      <c r="Q1059" s="343"/>
    </row>
    <row r="1060" spans="1:17" s="109" customFormat="1" ht="30">
      <c r="A1060" s="337">
        <v>2536175</v>
      </c>
      <c r="B1060" s="338" t="s">
        <v>979</v>
      </c>
      <c r="C1060" s="337" t="s">
        <v>19</v>
      </c>
      <c r="D1060" s="339" t="s">
        <v>11</v>
      </c>
      <c r="E1060" s="340">
        <v>2</v>
      </c>
      <c r="F1060" s="341">
        <f>SUM(DistMeetingQuota[[#This Row],[Sep]:[Feb]])</f>
        <v>2</v>
      </c>
      <c r="G1060" s="341">
        <f>DistMeetingQuota[[#This Row],[Quota]]-DistMeetingQuota[[#This Row],[Actual]]</f>
        <v>0</v>
      </c>
      <c r="H1060" s="342">
        <f>DistMeetingQuota[[#This Row],[Actual]]/DistMeetingQuota[[#This Row],[Quota]]</f>
        <v>1</v>
      </c>
      <c r="I1060" s="337"/>
      <c r="J1060" s="343"/>
      <c r="K1060" s="343">
        <v>2</v>
      </c>
      <c r="L1060" s="343"/>
      <c r="M1060" s="343"/>
      <c r="N1060" s="343"/>
      <c r="O1060" s="343"/>
      <c r="P1060" s="344" t="s">
        <v>63</v>
      </c>
      <c r="Q1060" s="343"/>
    </row>
    <row r="1061" spans="1:17" s="109" customFormat="1" ht="30">
      <c r="A1061" s="337">
        <v>2536175</v>
      </c>
      <c r="B1061" s="338" t="s">
        <v>979</v>
      </c>
      <c r="C1061" s="337" t="s">
        <v>19</v>
      </c>
      <c r="D1061" s="339" t="s">
        <v>5</v>
      </c>
      <c r="E1061" s="340">
        <v>24</v>
      </c>
      <c r="F1061" s="341">
        <f>SUM(DistMeetingQuota[[#This Row],[Sep]:[Feb]])</f>
        <v>2</v>
      </c>
      <c r="G1061" s="341">
        <f>DistMeetingQuota[[#This Row],[Quota]]-DistMeetingQuota[[#This Row],[Actual]]</f>
        <v>22</v>
      </c>
      <c r="H1061" s="342">
        <f>DistMeetingQuota[[#This Row],[Actual]]/DistMeetingQuota[[#This Row],[Quota]]</f>
        <v>8.3333333333333329E-2</v>
      </c>
      <c r="I1061" s="337"/>
      <c r="J1061" s="343">
        <v>2</v>
      </c>
      <c r="K1061" s="343"/>
      <c r="L1061" s="343"/>
      <c r="M1061" s="343"/>
      <c r="N1061" s="343"/>
      <c r="O1061" s="343"/>
      <c r="P1061" s="344" t="s">
        <v>63</v>
      </c>
      <c r="Q1061" s="343"/>
    </row>
    <row r="1062" spans="1:17" s="109" customFormat="1" ht="30">
      <c r="A1062" s="337">
        <v>2394196</v>
      </c>
      <c r="B1062" s="338" t="s">
        <v>980</v>
      </c>
      <c r="C1062" s="337" t="s">
        <v>19</v>
      </c>
      <c r="D1062" s="339" t="s">
        <v>11</v>
      </c>
      <c r="E1062" s="340">
        <v>2</v>
      </c>
      <c r="F1062" s="341">
        <f>SUM(DistMeetingQuota[[#This Row],[Sep]:[Feb]])</f>
        <v>1</v>
      </c>
      <c r="G1062" s="341">
        <f>DistMeetingQuota[[#This Row],[Quota]]-DistMeetingQuota[[#This Row],[Actual]]</f>
        <v>1</v>
      </c>
      <c r="H1062" s="342">
        <f>DistMeetingQuota[[#This Row],[Actual]]/DistMeetingQuota[[#This Row],[Quota]]</f>
        <v>0.5</v>
      </c>
      <c r="I1062" s="337"/>
      <c r="J1062" s="343">
        <v>1</v>
      </c>
      <c r="K1062" s="343"/>
      <c r="L1062" s="343"/>
      <c r="M1062" s="343"/>
      <c r="N1062" s="343"/>
      <c r="O1062" s="343"/>
      <c r="P1062" s="344" t="s">
        <v>14</v>
      </c>
      <c r="Q1062" s="343"/>
    </row>
    <row r="1063" spans="1:17" s="109" customFormat="1" ht="30">
      <c r="A1063" s="337">
        <v>2610617</v>
      </c>
      <c r="B1063" s="338" t="s">
        <v>981</v>
      </c>
      <c r="C1063" s="337" t="s">
        <v>19</v>
      </c>
      <c r="D1063" s="339" t="s">
        <v>11</v>
      </c>
      <c r="E1063" s="340">
        <v>2</v>
      </c>
      <c r="F1063" s="341">
        <f>SUM(DistMeetingQuota[[#This Row],[Sep]:[Feb]])</f>
        <v>1</v>
      </c>
      <c r="G1063" s="341">
        <f>DistMeetingQuota[[#This Row],[Quota]]-DistMeetingQuota[[#This Row],[Actual]]</f>
        <v>1</v>
      </c>
      <c r="H1063" s="342">
        <f>DistMeetingQuota[[#This Row],[Actual]]/DistMeetingQuota[[#This Row],[Quota]]</f>
        <v>0.5</v>
      </c>
      <c r="I1063" s="337"/>
      <c r="J1063" s="343">
        <v>1</v>
      </c>
      <c r="K1063" s="343"/>
      <c r="L1063" s="343"/>
      <c r="M1063" s="343"/>
      <c r="N1063" s="343"/>
      <c r="O1063" s="343"/>
      <c r="P1063" s="344" t="s">
        <v>14</v>
      </c>
      <c r="Q1063" s="343"/>
    </row>
    <row r="1064" spans="1:17" s="109" customFormat="1">
      <c r="A1064" s="4">
        <v>2488311</v>
      </c>
      <c r="B1064" s="138" t="s">
        <v>983</v>
      </c>
      <c r="C1064" s="4" t="s">
        <v>19</v>
      </c>
      <c r="D1064" s="78" t="s">
        <v>11</v>
      </c>
      <c r="E1064" s="53">
        <v>2</v>
      </c>
      <c r="F1064" s="11">
        <v>0</v>
      </c>
      <c r="G1064" s="11">
        <f>DistMeetingQuota[[#This Row],[Quota]]-DistMeetingQuota[[#This Row],[Actual]]</f>
        <v>2</v>
      </c>
      <c r="H1064" s="49">
        <f>DistMeetingQuota[[#This Row],[Actual]]/DistMeetingQuota[[#This Row],[Quota]]</f>
        <v>0</v>
      </c>
      <c r="I1064" s="4"/>
      <c r="J1064" s="2"/>
      <c r="K1064" s="2"/>
      <c r="L1064" s="2"/>
      <c r="M1064" s="2">
        <v>1</v>
      </c>
      <c r="N1064" s="2"/>
      <c r="O1064" s="2"/>
      <c r="P1064" s="139" t="s">
        <v>4</v>
      </c>
      <c r="Q1064" s="2"/>
    </row>
    <row r="1065" spans="1:17" s="109" customFormat="1">
      <c r="A1065" s="4">
        <v>2488311</v>
      </c>
      <c r="B1065" s="138" t="s">
        <v>983</v>
      </c>
      <c r="C1065" s="4" t="s">
        <v>19</v>
      </c>
      <c r="D1065" s="78" t="s">
        <v>5</v>
      </c>
      <c r="E1065" s="53">
        <v>24</v>
      </c>
      <c r="F1065" s="11">
        <f>SUM(DistMeetingQuota[[#This Row],[Sep]:[Feb]])</f>
        <v>16</v>
      </c>
      <c r="G1065" s="11">
        <f>DistMeetingQuota[[#This Row],[Quota]]-DistMeetingQuota[[#This Row],[Actual]]</f>
        <v>8</v>
      </c>
      <c r="H1065" s="49">
        <f>DistMeetingQuota[[#This Row],[Actual]]/DistMeetingQuota[[#This Row],[Quota]]</f>
        <v>0.66666666666666663</v>
      </c>
      <c r="I1065" s="4"/>
      <c r="J1065" s="2">
        <v>4</v>
      </c>
      <c r="K1065" s="2">
        <v>4</v>
      </c>
      <c r="L1065" s="2">
        <v>4</v>
      </c>
      <c r="M1065" s="2"/>
      <c r="N1065" s="2">
        <v>4</v>
      </c>
      <c r="O1065" s="2"/>
      <c r="P1065" s="139" t="s">
        <v>4</v>
      </c>
      <c r="Q1065" s="2"/>
    </row>
    <row r="1066" spans="1:17" s="109" customFormat="1">
      <c r="A1066" s="4">
        <v>2488311</v>
      </c>
      <c r="B1066" s="138" t="s">
        <v>984</v>
      </c>
      <c r="C1066" s="4" t="s">
        <v>19</v>
      </c>
      <c r="D1066" s="78" t="s">
        <v>5</v>
      </c>
      <c r="E1066" s="53">
        <v>24</v>
      </c>
      <c r="F1066" s="11">
        <f>SUM(DistMeetingQuota[[#This Row],[Sep]:[Feb]])</f>
        <v>8</v>
      </c>
      <c r="G1066" s="11">
        <f>DistMeetingQuota[[#This Row],[Quota]]-DistMeetingQuota[[#This Row],[Actual]]</f>
        <v>16</v>
      </c>
      <c r="H1066" s="49">
        <f>DistMeetingQuota[[#This Row],[Actual]]/DistMeetingQuota[[#This Row],[Quota]]</f>
        <v>0.33333333333333331</v>
      </c>
      <c r="I1066" s="4"/>
      <c r="J1066" s="2">
        <v>2</v>
      </c>
      <c r="K1066" s="2">
        <v>1</v>
      </c>
      <c r="L1066" s="2">
        <v>5</v>
      </c>
      <c r="M1066" s="2"/>
      <c r="N1066" s="2"/>
      <c r="O1066" s="2"/>
      <c r="P1066" s="139" t="s">
        <v>470</v>
      </c>
      <c r="Q1066" s="2"/>
    </row>
    <row r="1067" spans="1:17" s="109" customFormat="1" ht="30">
      <c r="A1067" s="4">
        <v>2328176</v>
      </c>
      <c r="B1067" s="138" t="s">
        <v>988</v>
      </c>
      <c r="C1067" s="4" t="s">
        <v>21</v>
      </c>
      <c r="D1067" s="78" t="s">
        <v>13</v>
      </c>
      <c r="E1067" s="53">
        <v>2</v>
      </c>
      <c r="F1067" s="11">
        <f>SUM(DistMeetingQuota[[#This Row],[Sep]:[Feb]])</f>
        <v>1</v>
      </c>
      <c r="G1067" s="11">
        <f>DistMeetingQuota[[#This Row],[Quota]]-DistMeetingQuota[[#This Row],[Actual]]</f>
        <v>1</v>
      </c>
      <c r="H1067" s="49">
        <f>DistMeetingQuota[[#This Row],[Actual]]/DistMeetingQuota[[#This Row],[Quota]]</f>
        <v>0.5</v>
      </c>
      <c r="I1067" s="4"/>
      <c r="J1067" s="2"/>
      <c r="K1067" s="2">
        <v>1</v>
      </c>
      <c r="L1067" s="2"/>
      <c r="M1067" s="2"/>
      <c r="N1067" s="2"/>
      <c r="O1067" s="2"/>
      <c r="P1067" s="139" t="s">
        <v>14</v>
      </c>
      <c r="Q1067" s="2"/>
    </row>
    <row r="1068" spans="1:17" s="109" customFormat="1" ht="30">
      <c r="A1068" s="4">
        <v>2328176</v>
      </c>
      <c r="B1068" s="138" t="s">
        <v>988</v>
      </c>
      <c r="C1068" s="4" t="s">
        <v>21</v>
      </c>
      <c r="D1068" s="78" t="s">
        <v>11</v>
      </c>
      <c r="E1068" s="53">
        <v>3</v>
      </c>
      <c r="F1068" s="11">
        <f>SUM(DistMeetingQuota[[#This Row],[Sep]:[Feb]])</f>
        <v>1</v>
      </c>
      <c r="G1068" s="11">
        <f>DistMeetingQuota[[#This Row],[Quota]]-DistMeetingQuota[[#This Row],[Actual]]</f>
        <v>2</v>
      </c>
      <c r="H1068" s="49">
        <f>DistMeetingQuota[[#This Row],[Actual]]/DistMeetingQuota[[#This Row],[Quota]]</f>
        <v>0.33333333333333331</v>
      </c>
      <c r="I1068" s="4"/>
      <c r="J1068" s="2">
        <v>1</v>
      </c>
      <c r="K1068" s="2"/>
      <c r="L1068" s="2"/>
      <c r="M1068" s="2"/>
      <c r="N1068" s="2"/>
      <c r="O1068" s="2"/>
      <c r="P1068" s="139" t="s">
        <v>14</v>
      </c>
      <c r="Q1068" s="2"/>
    </row>
    <row r="1069" spans="1:17" s="109" customFormat="1">
      <c r="A1069" s="353">
        <v>2028763</v>
      </c>
      <c r="B1069" s="354" t="s">
        <v>989</v>
      </c>
      <c r="C1069" s="353" t="s">
        <v>19</v>
      </c>
      <c r="D1069" s="355" t="s">
        <v>11</v>
      </c>
      <c r="E1069" s="356">
        <v>2</v>
      </c>
      <c r="F1069" s="357">
        <f>SUM(DistMeetingQuota[[#This Row],[Sep]:[Feb]])</f>
        <v>1</v>
      </c>
      <c r="G1069" s="357">
        <f>DistMeetingQuota[[#This Row],[Quota]]-DistMeetingQuota[[#This Row],[Actual]]</f>
        <v>1</v>
      </c>
      <c r="H1069" s="358">
        <f>DistMeetingQuota[[#This Row],[Actual]]/DistMeetingQuota[[#This Row],[Quota]]</f>
        <v>0.5</v>
      </c>
      <c r="I1069" s="353"/>
      <c r="J1069" s="359">
        <v>1</v>
      </c>
      <c r="K1069" s="359"/>
      <c r="L1069" s="359"/>
      <c r="M1069" s="359"/>
      <c r="N1069" s="359"/>
      <c r="O1069" s="359"/>
      <c r="P1069" s="360" t="s">
        <v>10</v>
      </c>
      <c r="Q1069" s="359"/>
    </row>
    <row r="1070" spans="1:17" s="109" customFormat="1" ht="30">
      <c r="A1070" s="4">
        <v>2536007</v>
      </c>
      <c r="B1070" s="138" t="s">
        <v>990</v>
      </c>
      <c r="C1070" s="4" t="s">
        <v>19</v>
      </c>
      <c r="D1070" s="78" t="s">
        <v>5</v>
      </c>
      <c r="E1070" s="53">
        <v>24</v>
      </c>
      <c r="F1070" s="11">
        <f>SUM(DistMeetingQuota[[#This Row],[Sep]:[Feb]])</f>
        <v>20</v>
      </c>
      <c r="G1070" s="11">
        <f>DistMeetingQuota[[#This Row],[Quota]]-DistMeetingQuota[[#This Row],[Actual]]</f>
        <v>4</v>
      </c>
      <c r="H1070" s="49">
        <f>DistMeetingQuota[[#This Row],[Actual]]/DistMeetingQuota[[#This Row],[Quota]]</f>
        <v>0.83333333333333337</v>
      </c>
      <c r="I1070" s="4"/>
      <c r="J1070" s="2">
        <v>4</v>
      </c>
      <c r="K1070" s="2">
        <v>4</v>
      </c>
      <c r="L1070" s="2">
        <v>4</v>
      </c>
      <c r="M1070" s="2">
        <v>4</v>
      </c>
      <c r="N1070" s="2">
        <v>4</v>
      </c>
      <c r="O1070" s="2"/>
      <c r="P1070" s="139" t="s">
        <v>736</v>
      </c>
      <c r="Q1070" s="2"/>
    </row>
    <row r="1071" spans="1:17" s="109" customFormat="1" ht="30">
      <c r="A1071" s="4">
        <v>2312711</v>
      </c>
      <c r="B1071" s="138" t="s">
        <v>991</v>
      </c>
      <c r="C1071" s="4" t="s">
        <v>19</v>
      </c>
      <c r="D1071" s="78" t="s">
        <v>5</v>
      </c>
      <c r="E1071" s="53">
        <v>24</v>
      </c>
      <c r="F1071" s="11">
        <f>SUM(DistMeetingQuota[[#This Row],[Sep]:[Feb]])</f>
        <v>0</v>
      </c>
      <c r="G1071" s="11">
        <f>DistMeetingQuota[[#This Row],[Quota]]-DistMeetingQuota[[#This Row],[Actual]]</f>
        <v>24</v>
      </c>
      <c r="H1071" s="49">
        <f>DistMeetingQuota[[#This Row],[Actual]]/DistMeetingQuota[[#This Row],[Quota]]</f>
        <v>0</v>
      </c>
      <c r="I1071" s="4"/>
      <c r="J1071" s="2"/>
      <c r="K1071" s="2"/>
      <c r="L1071" s="2"/>
      <c r="M1071" s="2"/>
      <c r="N1071" s="2"/>
      <c r="O1071" s="2"/>
      <c r="P1071" s="139" t="s">
        <v>57</v>
      </c>
      <c r="Q1071" s="2"/>
    </row>
    <row r="1072" spans="1:17" s="109" customFormat="1" ht="30">
      <c r="A1072" s="4">
        <v>2312711</v>
      </c>
      <c r="B1072" s="138" t="s">
        <v>991</v>
      </c>
      <c r="C1072" s="4" t="s">
        <v>19</v>
      </c>
      <c r="D1072" s="78" t="s">
        <v>11</v>
      </c>
      <c r="E1072" s="53">
        <v>2</v>
      </c>
      <c r="F1072" s="11">
        <f>SUM(DistMeetingQuota[[#This Row],[Sep]:[Feb]])</f>
        <v>1</v>
      </c>
      <c r="G1072" s="11">
        <f>DistMeetingQuota[[#This Row],[Quota]]-DistMeetingQuota[[#This Row],[Actual]]</f>
        <v>1</v>
      </c>
      <c r="H1072" s="49">
        <f>DistMeetingQuota[[#This Row],[Actual]]/DistMeetingQuota[[#This Row],[Quota]]</f>
        <v>0.5</v>
      </c>
      <c r="I1072" s="4"/>
      <c r="J1072" s="2"/>
      <c r="K1072" s="2">
        <v>1</v>
      </c>
      <c r="L1072" s="2"/>
      <c r="M1072" s="2"/>
      <c r="N1072" s="2"/>
      <c r="O1072" s="2"/>
      <c r="P1072" s="139" t="s">
        <v>57</v>
      </c>
      <c r="Q1072" s="2"/>
    </row>
    <row r="1073" spans="1:17" s="109" customFormat="1" ht="30">
      <c r="A1073" s="4">
        <v>2934243</v>
      </c>
      <c r="B1073" s="138" t="s">
        <v>992</v>
      </c>
      <c r="C1073" s="4" t="s">
        <v>19</v>
      </c>
      <c r="D1073" s="78" t="s">
        <v>11</v>
      </c>
      <c r="E1073" s="53">
        <v>2</v>
      </c>
      <c r="F1073" s="11">
        <f>SUM(DistMeetingQuota[[#This Row],[Sep]:[Feb]])</f>
        <v>1</v>
      </c>
      <c r="G1073" s="11">
        <f>DistMeetingQuota[[#This Row],[Quota]]-DistMeetingQuota[[#This Row],[Actual]]</f>
        <v>1</v>
      </c>
      <c r="H1073" s="49">
        <f>DistMeetingQuota[[#This Row],[Actual]]/DistMeetingQuota[[#This Row],[Quota]]</f>
        <v>0.5</v>
      </c>
      <c r="I1073" s="4"/>
      <c r="J1073" s="2"/>
      <c r="K1073" s="2">
        <v>1</v>
      </c>
      <c r="L1073" s="2"/>
      <c r="M1073" s="2"/>
      <c r="N1073" s="2"/>
      <c r="O1073" s="2"/>
      <c r="P1073" s="139" t="s">
        <v>57</v>
      </c>
      <c r="Q1073" s="2"/>
    </row>
    <row r="1074" spans="1:17" s="109" customFormat="1" ht="30">
      <c r="A1074" s="4">
        <v>2934243</v>
      </c>
      <c r="B1074" s="138" t="s">
        <v>992</v>
      </c>
      <c r="C1074" s="4" t="s">
        <v>19</v>
      </c>
      <c r="D1074" s="78" t="s">
        <v>5</v>
      </c>
      <c r="E1074" s="53">
        <v>24</v>
      </c>
      <c r="F1074" s="11">
        <f>SUM(DistMeetingQuota[[#This Row],[Sep]:[Feb]])</f>
        <v>10</v>
      </c>
      <c r="G1074" s="11">
        <f>DistMeetingQuota[[#This Row],[Quota]]-DistMeetingQuota[[#This Row],[Actual]]</f>
        <v>14</v>
      </c>
      <c r="H1074" s="49">
        <f>DistMeetingQuota[[#This Row],[Actual]]/DistMeetingQuota[[#This Row],[Quota]]</f>
        <v>0.41666666666666669</v>
      </c>
      <c r="I1074" s="4"/>
      <c r="J1074" s="2">
        <v>4</v>
      </c>
      <c r="K1074" s="2"/>
      <c r="L1074" s="2"/>
      <c r="M1074" s="2">
        <v>2</v>
      </c>
      <c r="N1074" s="2">
        <v>4</v>
      </c>
      <c r="O1074" s="2"/>
      <c r="P1074" s="139" t="s">
        <v>57</v>
      </c>
      <c r="Q1074" s="2"/>
    </row>
    <row r="1075" spans="1:17" s="109" customFormat="1">
      <c r="A1075" s="4">
        <v>2509412</v>
      </c>
      <c r="B1075" s="138" t="s">
        <v>995</v>
      </c>
      <c r="C1075" s="4" t="s">
        <v>19</v>
      </c>
      <c r="D1075" s="78" t="s">
        <v>5</v>
      </c>
      <c r="E1075" s="53">
        <v>24</v>
      </c>
      <c r="F1075" s="11">
        <f>SUM(DistMeetingQuota[[#This Row],[Sep]:[Feb]])</f>
        <v>2</v>
      </c>
      <c r="G1075" s="11">
        <f>DistMeetingQuota[[#This Row],[Quota]]-DistMeetingQuota[[#This Row],[Actual]]</f>
        <v>22</v>
      </c>
      <c r="H1075" s="49">
        <f>DistMeetingQuota[[#This Row],[Actual]]/DistMeetingQuota[[#This Row],[Quota]]</f>
        <v>8.3333333333333329E-2</v>
      </c>
      <c r="I1075" s="4"/>
      <c r="J1075" s="2"/>
      <c r="K1075" s="2"/>
      <c r="L1075" s="2"/>
      <c r="M1075" s="2">
        <v>2</v>
      </c>
      <c r="N1075" s="2"/>
      <c r="O1075" s="2"/>
      <c r="P1075" s="139" t="s">
        <v>789</v>
      </c>
      <c r="Q1075" s="2"/>
    </row>
    <row r="1076" spans="1:17" s="109" customFormat="1">
      <c r="A1076" s="4">
        <v>2509412</v>
      </c>
      <c r="B1076" s="138" t="s">
        <v>995</v>
      </c>
      <c r="C1076" s="4" t="s">
        <v>19</v>
      </c>
      <c r="D1076" s="78" t="s">
        <v>11</v>
      </c>
      <c r="E1076" s="53">
        <v>2</v>
      </c>
      <c r="F1076" s="11">
        <f>SUM(DistMeetingQuota[[#This Row],[Sep]:[Feb]])</f>
        <v>0</v>
      </c>
      <c r="G1076" s="11">
        <f>DistMeetingQuota[[#This Row],[Quota]]-DistMeetingQuota[[#This Row],[Actual]]</f>
        <v>2</v>
      </c>
      <c r="H1076" s="49">
        <f>DistMeetingQuota[[#This Row],[Actual]]/DistMeetingQuota[[#This Row],[Quota]]</f>
        <v>0</v>
      </c>
      <c r="I1076" s="4"/>
      <c r="J1076" s="2"/>
      <c r="K1076" s="2"/>
      <c r="L1076" s="2"/>
      <c r="M1076" s="2"/>
      <c r="N1076" s="2"/>
      <c r="O1076" s="2"/>
      <c r="P1076" s="139" t="s">
        <v>789</v>
      </c>
      <c r="Q1076" s="2"/>
    </row>
    <row r="1077" spans="1:17" s="109" customFormat="1">
      <c r="A1077" s="4">
        <v>2566277</v>
      </c>
      <c r="B1077" s="138" t="s">
        <v>996</v>
      </c>
      <c r="C1077" s="4" t="s">
        <v>19</v>
      </c>
      <c r="D1077" s="78" t="s">
        <v>11</v>
      </c>
      <c r="E1077" s="53">
        <v>2</v>
      </c>
      <c r="F1077" s="11">
        <f>SUM(DistMeetingQuota[[#This Row],[Sep]:[Feb]])</f>
        <v>0</v>
      </c>
      <c r="G1077" s="11">
        <f>DistMeetingQuota[[#This Row],[Quota]]-DistMeetingQuota[[#This Row],[Actual]]</f>
        <v>2</v>
      </c>
      <c r="H1077" s="49">
        <f>DistMeetingQuota[[#This Row],[Actual]]/DistMeetingQuota[[#This Row],[Quota]]</f>
        <v>0</v>
      </c>
      <c r="I1077" s="4"/>
      <c r="J1077" s="2"/>
      <c r="K1077" s="2"/>
      <c r="L1077" s="2"/>
      <c r="M1077" s="2"/>
      <c r="N1077" s="2"/>
      <c r="O1077" s="2"/>
      <c r="P1077" s="139" t="s">
        <v>789</v>
      </c>
      <c r="Q1077" s="2"/>
    </row>
    <row r="1078" spans="1:17" s="109" customFormat="1" ht="30">
      <c r="A1078" s="4">
        <v>2569657</v>
      </c>
      <c r="B1078" s="138" t="s">
        <v>997</v>
      </c>
      <c r="C1078" s="4" t="s">
        <v>19</v>
      </c>
      <c r="D1078" s="78" t="s">
        <v>11</v>
      </c>
      <c r="E1078" s="53">
        <v>2</v>
      </c>
      <c r="F1078" s="11">
        <f>SUM(DistMeetingQuota[[#This Row],[Sep]:[Feb]])</f>
        <v>0</v>
      </c>
      <c r="G1078" s="11">
        <f>DistMeetingQuota[[#This Row],[Quota]]-DistMeetingQuota[[#This Row],[Actual]]</f>
        <v>2</v>
      </c>
      <c r="H1078" s="49">
        <f>DistMeetingQuota[[#This Row],[Actual]]/DistMeetingQuota[[#This Row],[Quota]]</f>
        <v>0</v>
      </c>
      <c r="I1078" s="4"/>
      <c r="J1078" s="2"/>
      <c r="K1078" s="2"/>
      <c r="L1078" s="2"/>
      <c r="M1078" s="2"/>
      <c r="N1078" s="2"/>
      <c r="O1078" s="2"/>
      <c r="P1078" s="139" t="s">
        <v>789</v>
      </c>
      <c r="Q1078" s="2"/>
    </row>
    <row r="1079" spans="1:17" s="109" customFormat="1">
      <c r="A1079" s="4">
        <v>2082319</v>
      </c>
      <c r="B1079" s="138" t="s">
        <v>999</v>
      </c>
      <c r="C1079" s="4" t="s">
        <v>19</v>
      </c>
      <c r="D1079" s="78" t="s">
        <v>5</v>
      </c>
      <c r="E1079" s="53">
        <v>24</v>
      </c>
      <c r="F1079" s="11">
        <f>SUM(DistMeetingQuota[[#This Row],[Sep]:[Feb]])</f>
        <v>4</v>
      </c>
      <c r="G1079" s="11">
        <f>DistMeetingQuota[[#This Row],[Quota]]-DistMeetingQuota[[#This Row],[Actual]]</f>
        <v>20</v>
      </c>
      <c r="H1079" s="49">
        <f>DistMeetingQuota[[#This Row],[Actual]]/DistMeetingQuota[[#This Row],[Quota]]</f>
        <v>0.16666666666666666</v>
      </c>
      <c r="I1079" s="4"/>
      <c r="J1079" s="2">
        <v>4</v>
      </c>
      <c r="K1079" s="2"/>
      <c r="L1079" s="2"/>
      <c r="M1079" s="2"/>
      <c r="N1079" s="2"/>
      <c r="O1079" s="2"/>
      <c r="P1079" s="139" t="s">
        <v>57</v>
      </c>
      <c r="Q1079" s="2"/>
    </row>
    <row r="1080" spans="1:17" s="109" customFormat="1">
      <c r="A1080" s="4">
        <v>2245929</v>
      </c>
      <c r="B1080" s="138" t="s">
        <v>998</v>
      </c>
      <c r="C1080" s="4" t="s">
        <v>19</v>
      </c>
      <c r="D1080" s="78" t="s">
        <v>11</v>
      </c>
      <c r="E1080" s="53">
        <v>2</v>
      </c>
      <c r="F1080" s="11">
        <f>SUM(DistMeetingQuota[[#This Row],[Sep]:[Feb]])</f>
        <v>2</v>
      </c>
      <c r="G1080" s="11">
        <f>DistMeetingQuota[[#This Row],[Quota]]-DistMeetingQuota[[#This Row],[Actual]]</f>
        <v>0</v>
      </c>
      <c r="H1080" s="49">
        <f>DistMeetingQuota[[#This Row],[Actual]]/DistMeetingQuota[[#This Row],[Quota]]</f>
        <v>1</v>
      </c>
      <c r="I1080" s="4"/>
      <c r="J1080" s="2"/>
      <c r="K1080" s="2"/>
      <c r="L1080" s="2"/>
      <c r="M1080" s="2">
        <v>2</v>
      </c>
      <c r="N1080" s="2"/>
      <c r="O1080" s="2"/>
      <c r="P1080" s="139" t="s">
        <v>4</v>
      </c>
      <c r="Q1080" s="2"/>
    </row>
    <row r="1081" spans="1:17" s="109" customFormat="1">
      <c r="A1081" s="4">
        <v>2245929</v>
      </c>
      <c r="B1081" s="138" t="s">
        <v>998</v>
      </c>
      <c r="C1081" s="4" t="s">
        <v>19</v>
      </c>
      <c r="D1081" s="78" t="s">
        <v>5</v>
      </c>
      <c r="E1081" s="53">
        <v>24</v>
      </c>
      <c r="F1081" s="11">
        <f>SUM(DistMeetingQuota[[#This Row],[Sep]:[Feb]])</f>
        <v>4</v>
      </c>
      <c r="G1081" s="11">
        <f>DistMeetingQuota[[#This Row],[Quota]]-DistMeetingQuota[[#This Row],[Actual]]</f>
        <v>20</v>
      </c>
      <c r="H1081" s="49">
        <f>DistMeetingQuota[[#This Row],[Actual]]/DistMeetingQuota[[#This Row],[Quota]]</f>
        <v>0.16666666666666666</v>
      </c>
      <c r="I1081" s="4"/>
      <c r="J1081" s="2">
        <v>4</v>
      </c>
      <c r="K1081" s="2"/>
      <c r="L1081" s="2"/>
      <c r="M1081" s="2"/>
      <c r="N1081" s="2"/>
      <c r="O1081" s="2"/>
      <c r="P1081" s="139" t="s">
        <v>4</v>
      </c>
      <c r="Q1081" s="2"/>
    </row>
    <row r="1082" spans="1:17" s="109" customFormat="1" ht="30">
      <c r="A1082" s="4">
        <v>2533066</v>
      </c>
      <c r="B1082" s="138" t="s">
        <v>1000</v>
      </c>
      <c r="C1082" s="4" t="s">
        <v>19</v>
      </c>
      <c r="D1082" s="78" t="s">
        <v>11</v>
      </c>
      <c r="E1082" s="53">
        <v>2</v>
      </c>
      <c r="F1082" s="11">
        <f>SUM(DistMeetingQuota[[#This Row],[Sep]:[Feb]])</f>
        <v>1</v>
      </c>
      <c r="G1082" s="11">
        <f>DistMeetingQuota[[#This Row],[Quota]]-DistMeetingQuota[[#This Row],[Actual]]</f>
        <v>1</v>
      </c>
      <c r="H1082" s="49">
        <f>DistMeetingQuota[[#This Row],[Actual]]/DistMeetingQuota[[#This Row],[Quota]]</f>
        <v>0.5</v>
      </c>
      <c r="I1082" s="4"/>
      <c r="J1082" s="2">
        <v>1</v>
      </c>
      <c r="K1082" s="2"/>
      <c r="L1082" s="2"/>
      <c r="M1082" s="2"/>
      <c r="N1082" s="2"/>
      <c r="O1082" s="2"/>
      <c r="P1082" s="139" t="s">
        <v>470</v>
      </c>
      <c r="Q1082" s="2"/>
    </row>
    <row r="1083" spans="1:17" s="109" customFormat="1" ht="30">
      <c r="A1083" s="4">
        <v>2449639</v>
      </c>
      <c r="B1083" s="138" t="s">
        <v>1001</v>
      </c>
      <c r="C1083" s="4" t="s">
        <v>19</v>
      </c>
      <c r="D1083" s="78" t="s">
        <v>11</v>
      </c>
      <c r="E1083" s="53">
        <v>2</v>
      </c>
      <c r="F1083" s="11">
        <f>SUM(DistMeetingQuota[[#This Row],[Sep]:[Feb]])</f>
        <v>0</v>
      </c>
      <c r="G1083" s="11">
        <f>DistMeetingQuota[[#This Row],[Quota]]-DistMeetingQuota[[#This Row],[Actual]]</f>
        <v>2</v>
      </c>
      <c r="H1083" s="49">
        <f>DistMeetingQuota[[#This Row],[Actual]]/DistMeetingQuota[[#This Row],[Quota]]</f>
        <v>0</v>
      </c>
      <c r="I1083" s="4"/>
      <c r="J1083" s="2"/>
      <c r="K1083" s="2"/>
      <c r="L1083" s="2"/>
      <c r="M1083" s="2"/>
      <c r="N1083" s="2"/>
      <c r="O1083" s="2"/>
      <c r="P1083" s="139" t="s">
        <v>10</v>
      </c>
      <c r="Q1083" s="2"/>
    </row>
    <row r="1084" spans="1:17" s="109" customFormat="1">
      <c r="A1084" s="4">
        <v>2504705</v>
      </c>
      <c r="B1084" s="138" t="s">
        <v>1002</v>
      </c>
      <c r="C1084" s="4" t="s">
        <v>19</v>
      </c>
      <c r="D1084" s="78" t="s">
        <v>11</v>
      </c>
      <c r="E1084" s="53">
        <v>2</v>
      </c>
      <c r="F1084" s="11">
        <f>SUM(DistMeetingQuota[[#This Row],[Sep]:[Feb]])</f>
        <v>0</v>
      </c>
      <c r="G1084" s="11">
        <f>DistMeetingQuota[[#This Row],[Quota]]-DistMeetingQuota[[#This Row],[Actual]]</f>
        <v>2</v>
      </c>
      <c r="H1084" s="49">
        <f>DistMeetingQuota[[#This Row],[Actual]]/DistMeetingQuota[[#This Row],[Quota]]</f>
        <v>0</v>
      </c>
      <c r="I1084" s="4"/>
      <c r="J1084" s="2"/>
      <c r="K1084" s="2"/>
      <c r="L1084" s="2"/>
      <c r="M1084" s="2"/>
      <c r="N1084" s="2"/>
      <c r="O1084" s="2"/>
      <c r="P1084" s="139" t="s">
        <v>10</v>
      </c>
      <c r="Q1084" s="2"/>
    </row>
    <row r="1085" spans="1:17" s="109" customFormat="1">
      <c r="A1085" s="4">
        <v>2632328</v>
      </c>
      <c r="B1085" s="138" t="s">
        <v>1006</v>
      </c>
      <c r="C1085" s="4" t="s">
        <v>19</v>
      </c>
      <c r="D1085" s="78" t="s">
        <v>5</v>
      </c>
      <c r="E1085" s="53">
        <v>24</v>
      </c>
      <c r="F1085" s="11">
        <f>SUM(DistMeetingQuota[[#This Row],[Sep]:[Feb]])</f>
        <v>3</v>
      </c>
      <c r="G1085" s="11">
        <f>DistMeetingQuota[[#This Row],[Quota]]-DistMeetingQuota[[#This Row],[Actual]]</f>
        <v>21</v>
      </c>
      <c r="H1085" s="49">
        <f>DistMeetingQuota[[#This Row],[Actual]]/DistMeetingQuota[[#This Row],[Quota]]</f>
        <v>0.125</v>
      </c>
      <c r="I1085" s="4"/>
      <c r="J1085" s="2">
        <v>2</v>
      </c>
      <c r="K1085" s="2">
        <v>1</v>
      </c>
      <c r="L1085" s="2"/>
      <c r="M1085" s="2"/>
      <c r="N1085" s="2"/>
      <c r="O1085" s="2"/>
      <c r="P1085" s="139" t="s">
        <v>472</v>
      </c>
      <c r="Q1085" s="2"/>
    </row>
    <row r="1086" spans="1:17" s="109" customFormat="1" ht="30">
      <c r="A1086" s="140">
        <v>2334886</v>
      </c>
      <c r="B1086" s="138" t="s">
        <v>1004</v>
      </c>
      <c r="C1086" s="4" t="s">
        <v>19</v>
      </c>
      <c r="D1086" s="78" t="s">
        <v>11</v>
      </c>
      <c r="E1086" s="53">
        <v>2</v>
      </c>
      <c r="F1086" s="11">
        <f>SUM(DistMeetingQuota[[#This Row],[Sep]:[Feb]])</f>
        <v>2</v>
      </c>
      <c r="G1086" s="11">
        <f>DistMeetingQuota[[#This Row],[Quota]]-DistMeetingQuota[[#This Row],[Actual]]</f>
        <v>0</v>
      </c>
      <c r="H1086" s="49">
        <f>DistMeetingQuota[[#This Row],[Actual]]/DistMeetingQuota[[#This Row],[Quota]]</f>
        <v>1</v>
      </c>
      <c r="I1086" s="4"/>
      <c r="J1086" s="2"/>
      <c r="K1086" s="2"/>
      <c r="L1086" s="2"/>
      <c r="M1086" s="2">
        <v>2</v>
      </c>
      <c r="N1086" s="2"/>
      <c r="O1086" s="2"/>
      <c r="P1086" s="139" t="s">
        <v>56</v>
      </c>
      <c r="Q1086" s="2"/>
    </row>
    <row r="1087" spans="1:17" s="109" customFormat="1" ht="30">
      <c r="A1087" s="4">
        <v>2400509</v>
      </c>
      <c r="B1087" s="138" t="s">
        <v>1007</v>
      </c>
      <c r="C1087" s="4" t="s">
        <v>19</v>
      </c>
      <c r="D1087" s="78" t="s">
        <v>5</v>
      </c>
      <c r="E1087" s="53">
        <v>24</v>
      </c>
      <c r="F1087" s="11">
        <f>SUM(DistMeetingQuota[[#This Row],[Sep]:[Feb]])</f>
        <v>7</v>
      </c>
      <c r="G1087" s="11">
        <f>DistMeetingQuota[[#This Row],[Quota]]-DistMeetingQuota[[#This Row],[Actual]]</f>
        <v>17</v>
      </c>
      <c r="H1087" s="49">
        <f>DistMeetingQuota[[#This Row],[Actual]]/DistMeetingQuota[[#This Row],[Quota]]</f>
        <v>0.29166666666666669</v>
      </c>
      <c r="I1087" s="4"/>
      <c r="J1087" s="2"/>
      <c r="K1087" s="2">
        <v>7</v>
      </c>
      <c r="L1087" s="2"/>
      <c r="M1087" s="2"/>
      <c r="N1087" s="2"/>
      <c r="O1087" s="2"/>
      <c r="P1087" s="139" t="s">
        <v>55</v>
      </c>
      <c r="Q1087" s="2"/>
    </row>
    <row r="1088" spans="1:17" s="109" customFormat="1">
      <c r="A1088" s="4">
        <v>2118765</v>
      </c>
      <c r="B1088" s="138" t="s">
        <v>1008</v>
      </c>
      <c r="C1088" s="4" t="s">
        <v>19</v>
      </c>
      <c r="D1088" s="78" t="s">
        <v>11</v>
      </c>
      <c r="E1088" s="53">
        <v>2</v>
      </c>
      <c r="F1088" s="11">
        <f>SUM(DistMeetingQuota[[#This Row],[Sep]:[Feb]])</f>
        <v>2</v>
      </c>
      <c r="G1088" s="11">
        <f>DistMeetingQuota[[#This Row],[Quota]]-DistMeetingQuota[[#This Row],[Actual]]</f>
        <v>0</v>
      </c>
      <c r="H1088" s="49">
        <f>DistMeetingQuota[[#This Row],[Actual]]/DistMeetingQuota[[#This Row],[Quota]]</f>
        <v>1</v>
      </c>
      <c r="I1088" s="4"/>
      <c r="J1088" s="2"/>
      <c r="K1088" s="2">
        <v>2</v>
      </c>
      <c r="L1088" s="2"/>
      <c r="M1088" s="2"/>
      <c r="N1088" s="2"/>
      <c r="O1088" s="2"/>
      <c r="P1088" s="139" t="s">
        <v>14</v>
      </c>
      <c r="Q1088" s="2"/>
    </row>
    <row r="1089" spans="1:17" s="109" customFormat="1" ht="30">
      <c r="A1089" s="4">
        <v>2480109</v>
      </c>
      <c r="B1089" s="138" t="s">
        <v>1009</v>
      </c>
      <c r="C1089" s="4" t="s">
        <v>36</v>
      </c>
      <c r="D1089" s="78" t="s">
        <v>5</v>
      </c>
      <c r="E1089" s="53">
        <v>24</v>
      </c>
      <c r="F1089" s="11">
        <f>SUM(DistMeetingQuota[[#This Row],[Sep]:[Feb]])</f>
        <v>2</v>
      </c>
      <c r="G1089" s="11">
        <f>DistMeetingQuota[[#This Row],[Quota]]-DistMeetingQuota[[#This Row],[Actual]]</f>
        <v>22</v>
      </c>
      <c r="H1089" s="49">
        <f>DistMeetingQuota[[#This Row],[Actual]]/DistMeetingQuota[[#This Row],[Quota]]</f>
        <v>8.3333333333333329E-2</v>
      </c>
      <c r="I1089" s="4"/>
      <c r="J1089" s="2"/>
      <c r="K1089" s="2">
        <v>1</v>
      </c>
      <c r="L1089" s="2">
        <v>1</v>
      </c>
      <c r="M1089" s="2"/>
      <c r="N1089" s="2"/>
      <c r="O1089" s="2"/>
      <c r="P1089" s="139" t="s">
        <v>471</v>
      </c>
      <c r="Q1089" s="2"/>
    </row>
    <row r="1090" spans="1:17" s="109" customFormat="1" ht="30">
      <c r="A1090" s="4">
        <v>2480109</v>
      </c>
      <c r="B1090" s="138" t="s">
        <v>1009</v>
      </c>
      <c r="C1090" s="4" t="s">
        <v>36</v>
      </c>
      <c r="D1090" s="78" t="s">
        <v>11</v>
      </c>
      <c r="E1090" s="53">
        <v>2</v>
      </c>
      <c r="F1090" s="11">
        <f>SUM(DistMeetingQuota[[#This Row],[Sep]:[Feb]])</f>
        <v>2</v>
      </c>
      <c r="G1090" s="11">
        <f>DistMeetingQuota[[#This Row],[Quota]]-DistMeetingQuota[[#This Row],[Actual]]</f>
        <v>0</v>
      </c>
      <c r="H1090" s="49">
        <f>DistMeetingQuota[[#This Row],[Actual]]/DistMeetingQuota[[#This Row],[Quota]]</f>
        <v>1</v>
      </c>
      <c r="I1090" s="4"/>
      <c r="J1090" s="2"/>
      <c r="K1090" s="2">
        <v>1</v>
      </c>
      <c r="L1090" s="2"/>
      <c r="M1090" s="2">
        <v>1</v>
      </c>
      <c r="N1090" s="2"/>
      <c r="O1090" s="2"/>
      <c r="P1090" s="139" t="s">
        <v>471</v>
      </c>
      <c r="Q1090" s="2"/>
    </row>
    <row r="1091" spans="1:17" s="109" customFormat="1" ht="30">
      <c r="A1091" s="4">
        <v>2487889</v>
      </c>
      <c r="B1091" s="138" t="s">
        <v>1005</v>
      </c>
      <c r="C1091" s="4" t="s">
        <v>19</v>
      </c>
      <c r="D1091" s="78" t="s">
        <v>5</v>
      </c>
      <c r="E1091" s="53">
        <v>24</v>
      </c>
      <c r="F1091" s="11">
        <f>SUM(DistMeetingQuota[[#This Row],[Sep]:[Feb]])</f>
        <v>3</v>
      </c>
      <c r="G1091" s="11">
        <f>DistMeetingQuota[[#This Row],[Quota]]-DistMeetingQuota[[#This Row],[Actual]]</f>
        <v>21</v>
      </c>
      <c r="H1091" s="49">
        <f>DistMeetingQuota[[#This Row],[Actual]]/DistMeetingQuota[[#This Row],[Quota]]</f>
        <v>0.125</v>
      </c>
      <c r="I1091" s="4"/>
      <c r="J1091" s="2"/>
      <c r="K1091" s="2">
        <v>3</v>
      </c>
      <c r="L1091" s="2"/>
      <c r="M1091" s="2"/>
      <c r="N1091" s="2"/>
      <c r="O1091" s="2"/>
      <c r="P1091" s="139" t="s">
        <v>56</v>
      </c>
      <c r="Q1091" s="2"/>
    </row>
    <row r="1092" spans="1:17" s="109" customFormat="1" ht="30">
      <c r="A1092" s="4">
        <v>2487889</v>
      </c>
      <c r="B1092" s="138" t="s">
        <v>1005</v>
      </c>
      <c r="C1092" s="4" t="s">
        <v>19</v>
      </c>
      <c r="D1092" s="78" t="s">
        <v>11</v>
      </c>
      <c r="E1092" s="53">
        <v>2</v>
      </c>
      <c r="F1092" s="11">
        <f>SUM(DistMeetingQuota[[#This Row],[Sep]:[Feb]])</f>
        <v>2</v>
      </c>
      <c r="G1092" s="11">
        <f>DistMeetingQuota[[#This Row],[Quota]]-DistMeetingQuota[[#This Row],[Actual]]</f>
        <v>0</v>
      </c>
      <c r="H1092" s="49">
        <f>DistMeetingQuota[[#This Row],[Actual]]/DistMeetingQuota[[#This Row],[Quota]]</f>
        <v>1</v>
      </c>
      <c r="I1092" s="4"/>
      <c r="J1092" s="2"/>
      <c r="K1092" s="2"/>
      <c r="L1092" s="2"/>
      <c r="M1092" s="2">
        <v>2</v>
      </c>
      <c r="N1092" s="2"/>
      <c r="O1092" s="2"/>
      <c r="P1092" s="139" t="s">
        <v>56</v>
      </c>
      <c r="Q1092" s="2"/>
    </row>
    <row r="1093" spans="1:17" s="109" customFormat="1" ht="30">
      <c r="A1093" s="363">
        <v>2316648</v>
      </c>
      <c r="B1093" s="364" t="s">
        <v>1012</v>
      </c>
      <c r="C1093" s="363" t="s">
        <v>19</v>
      </c>
      <c r="D1093" s="365" t="s">
        <v>5</v>
      </c>
      <c r="E1093" s="366">
        <v>24</v>
      </c>
      <c r="F1093" s="367">
        <f>SUM(DistMeetingQuota[[#This Row],[Sep]:[Feb]])</f>
        <v>4</v>
      </c>
      <c r="G1093" s="367">
        <f>DistMeetingQuota[[#This Row],[Quota]]-DistMeetingQuota[[#This Row],[Actual]]</f>
        <v>20</v>
      </c>
      <c r="H1093" s="368">
        <f>DistMeetingQuota[[#This Row],[Actual]]/DistMeetingQuota[[#This Row],[Quota]]</f>
        <v>0.16666666666666666</v>
      </c>
      <c r="I1093" s="363"/>
      <c r="J1093" s="369">
        <v>4</v>
      </c>
      <c r="K1093" s="369"/>
      <c r="L1093" s="369"/>
      <c r="M1093" s="369"/>
      <c r="N1093" s="369"/>
      <c r="O1093" s="369"/>
      <c r="P1093" s="370" t="s">
        <v>478</v>
      </c>
      <c r="Q1093" s="369"/>
    </row>
    <row r="1094" spans="1:17" s="109" customFormat="1">
      <c r="A1094" s="4">
        <v>2029889</v>
      </c>
      <c r="B1094" s="138" t="s">
        <v>1011</v>
      </c>
      <c r="C1094" s="4" t="s">
        <v>21</v>
      </c>
      <c r="D1094" s="78" t="s">
        <v>11</v>
      </c>
      <c r="E1094" s="53">
        <v>3</v>
      </c>
      <c r="F1094" s="11">
        <f>SUM(DistMeetingQuota[[#This Row],[Sep]:[Feb]])</f>
        <v>1</v>
      </c>
      <c r="G1094" s="11">
        <f>DistMeetingQuota[[#This Row],[Quota]]-DistMeetingQuota[[#This Row],[Actual]]</f>
        <v>2</v>
      </c>
      <c r="H1094" s="49">
        <f>DistMeetingQuota[[#This Row],[Actual]]/DistMeetingQuota[[#This Row],[Quota]]</f>
        <v>0.33333333333333331</v>
      </c>
      <c r="I1094" s="4"/>
      <c r="J1094" s="2"/>
      <c r="K1094" s="2"/>
      <c r="L1094" s="2">
        <v>1</v>
      </c>
      <c r="M1094" s="2"/>
      <c r="N1094" s="2"/>
      <c r="O1094" s="2"/>
      <c r="P1094" s="139" t="s">
        <v>10</v>
      </c>
      <c r="Q1094" s="2"/>
    </row>
    <row r="1095" spans="1:17" s="109" customFormat="1" ht="30">
      <c r="A1095" s="371">
        <v>2644466</v>
      </c>
      <c r="B1095" s="372" t="s">
        <v>1014</v>
      </c>
      <c r="C1095" s="371" t="s">
        <v>19</v>
      </c>
      <c r="D1095" s="373" t="s">
        <v>11</v>
      </c>
      <c r="E1095" s="374">
        <v>2</v>
      </c>
      <c r="F1095" s="375">
        <f>SUM(DistMeetingQuota[[#This Row],[Sep]:[Feb]])</f>
        <v>2</v>
      </c>
      <c r="G1095" s="375">
        <f>DistMeetingQuota[[#This Row],[Quota]]-DistMeetingQuota[[#This Row],[Actual]]</f>
        <v>0</v>
      </c>
      <c r="H1095" s="376">
        <f>DistMeetingQuota[[#This Row],[Actual]]/DistMeetingQuota[[#This Row],[Quota]]</f>
        <v>1</v>
      </c>
      <c r="I1095" s="371"/>
      <c r="J1095" s="377">
        <v>2</v>
      </c>
      <c r="K1095" s="377"/>
      <c r="L1095" s="377"/>
      <c r="M1095" s="377"/>
      <c r="N1095" s="377"/>
      <c r="O1095" s="377"/>
      <c r="P1095" s="378" t="s">
        <v>10</v>
      </c>
      <c r="Q1095" s="377"/>
    </row>
    <row r="1096" spans="1:17" s="109" customFormat="1">
      <c r="A1096" s="371">
        <v>2506002</v>
      </c>
      <c r="B1096" s="372" t="s">
        <v>1015</v>
      </c>
      <c r="C1096" s="371" t="s">
        <v>19</v>
      </c>
      <c r="D1096" s="373" t="s">
        <v>11</v>
      </c>
      <c r="E1096" s="374">
        <v>2</v>
      </c>
      <c r="F1096" s="375">
        <f>SUM(DistMeetingQuota[[#This Row],[Sep]:[Feb]])</f>
        <v>2</v>
      </c>
      <c r="G1096" s="375">
        <f>DistMeetingQuota[[#This Row],[Quota]]-DistMeetingQuota[[#This Row],[Actual]]</f>
        <v>0</v>
      </c>
      <c r="H1096" s="376">
        <f>DistMeetingQuota[[#This Row],[Actual]]/DistMeetingQuota[[#This Row],[Quota]]</f>
        <v>1</v>
      </c>
      <c r="I1096" s="371"/>
      <c r="J1096" s="377">
        <v>2</v>
      </c>
      <c r="K1096" s="377"/>
      <c r="L1096" s="377"/>
      <c r="M1096" s="377"/>
      <c r="N1096" s="377"/>
      <c r="O1096" s="377"/>
      <c r="P1096" s="378" t="s">
        <v>10</v>
      </c>
      <c r="Q1096" s="377"/>
    </row>
    <row r="1097" spans="1:17" s="109" customFormat="1">
      <c r="A1097" s="4">
        <v>2717332</v>
      </c>
      <c r="B1097" s="138" t="s">
        <v>1020</v>
      </c>
      <c r="C1097" s="4" t="s">
        <v>19</v>
      </c>
      <c r="D1097" s="78" t="s">
        <v>11</v>
      </c>
      <c r="E1097" s="53">
        <v>2</v>
      </c>
      <c r="F1097" s="11">
        <f>SUM(DistMeetingQuota[[#This Row],[Sep]:[Feb]])</f>
        <v>1</v>
      </c>
      <c r="G1097" s="11">
        <f>DistMeetingQuota[[#This Row],[Quota]]-DistMeetingQuota[[#This Row],[Actual]]</f>
        <v>1</v>
      </c>
      <c r="H1097" s="49">
        <f>DistMeetingQuota[[#This Row],[Actual]]/DistMeetingQuota[[#This Row],[Quota]]</f>
        <v>0.5</v>
      </c>
      <c r="I1097" s="4"/>
      <c r="J1097" s="2"/>
      <c r="K1097" s="2">
        <v>1</v>
      </c>
      <c r="L1097" s="2"/>
      <c r="M1097" s="2"/>
      <c r="N1097" s="2"/>
      <c r="O1097" s="2"/>
      <c r="P1097" s="139" t="s">
        <v>6</v>
      </c>
      <c r="Q1097" s="2"/>
    </row>
    <row r="1098" spans="1:17" s="109" customFormat="1">
      <c r="A1098" s="4">
        <v>2437328</v>
      </c>
      <c r="B1098" s="138" t="s">
        <v>1021</v>
      </c>
      <c r="C1098" s="4" t="s">
        <v>19</v>
      </c>
      <c r="D1098" s="78" t="s">
        <v>11</v>
      </c>
      <c r="E1098" s="53">
        <v>2</v>
      </c>
      <c r="F1098" s="11">
        <f>SUM(DistMeetingQuota[[#This Row],[Sep]:[Feb]])</f>
        <v>1</v>
      </c>
      <c r="G1098" s="11">
        <f>DistMeetingQuota[[#This Row],[Quota]]-DistMeetingQuota[[#This Row],[Actual]]</f>
        <v>1</v>
      </c>
      <c r="H1098" s="49">
        <f>DistMeetingQuota[[#This Row],[Actual]]/DistMeetingQuota[[#This Row],[Quota]]</f>
        <v>0.5</v>
      </c>
      <c r="I1098" s="4"/>
      <c r="J1098" s="2"/>
      <c r="K1098" s="2">
        <v>1</v>
      </c>
      <c r="L1098" s="2"/>
      <c r="M1098" s="2"/>
      <c r="N1098" s="2"/>
      <c r="O1098" s="2"/>
      <c r="P1098" s="139" t="s">
        <v>6</v>
      </c>
      <c r="Q1098" s="2"/>
    </row>
    <row r="1099" spans="1:17" s="109" customFormat="1" ht="30">
      <c r="A1099" s="4">
        <v>2427785</v>
      </c>
      <c r="B1099" s="138" t="s">
        <v>1022</v>
      </c>
      <c r="C1099" s="4" t="s">
        <v>19</v>
      </c>
      <c r="D1099" s="78" t="s">
        <v>11</v>
      </c>
      <c r="E1099" s="53">
        <v>2</v>
      </c>
      <c r="F1099" s="11">
        <f>SUM(DistMeetingQuota[[#This Row],[Sep]:[Feb]])</f>
        <v>1</v>
      </c>
      <c r="G1099" s="11">
        <f>DistMeetingQuota[[#This Row],[Quota]]-DistMeetingQuota[[#This Row],[Actual]]</f>
        <v>1</v>
      </c>
      <c r="H1099" s="49">
        <f>DistMeetingQuota[[#This Row],[Actual]]/DistMeetingQuota[[#This Row],[Quota]]</f>
        <v>0.5</v>
      </c>
      <c r="I1099" s="4"/>
      <c r="J1099" s="2"/>
      <c r="K1099" s="2">
        <v>1</v>
      </c>
      <c r="L1099" s="2"/>
      <c r="M1099" s="2"/>
      <c r="N1099" s="2"/>
      <c r="O1099" s="2"/>
      <c r="P1099" s="139" t="s">
        <v>6</v>
      </c>
      <c r="Q1099" s="2"/>
    </row>
    <row r="1100" spans="1:17" s="109" customFormat="1" ht="30">
      <c r="A1100" s="4">
        <v>2396923</v>
      </c>
      <c r="B1100" s="138" t="s">
        <v>1023</v>
      </c>
      <c r="C1100" s="4" t="s">
        <v>19</v>
      </c>
      <c r="D1100" s="78" t="s">
        <v>11</v>
      </c>
      <c r="E1100" s="53">
        <v>2</v>
      </c>
      <c r="F1100" s="11">
        <f>SUM(DistMeetingQuota[[#This Row],[Sep]:[Feb]])</f>
        <v>2</v>
      </c>
      <c r="G1100" s="11">
        <f>DistMeetingQuota[[#This Row],[Quota]]-DistMeetingQuota[[#This Row],[Actual]]</f>
        <v>0</v>
      </c>
      <c r="H1100" s="49">
        <f>DistMeetingQuota[[#This Row],[Actual]]/DistMeetingQuota[[#This Row],[Quota]]</f>
        <v>1</v>
      </c>
      <c r="I1100" s="4"/>
      <c r="J1100" s="2"/>
      <c r="K1100" s="2"/>
      <c r="L1100" s="2">
        <v>2</v>
      </c>
      <c r="M1100" s="2"/>
      <c r="N1100" s="2"/>
      <c r="O1100" s="2"/>
      <c r="P1100" s="139" t="s">
        <v>10</v>
      </c>
      <c r="Q1100" s="2"/>
    </row>
    <row r="1101" spans="1:17" s="109" customFormat="1" ht="45">
      <c r="A1101" s="4">
        <v>2117673</v>
      </c>
      <c r="B1101" s="138" t="s">
        <v>1024</v>
      </c>
      <c r="C1101" s="4" t="s">
        <v>19</v>
      </c>
      <c r="D1101" s="78" t="s">
        <v>11</v>
      </c>
      <c r="E1101" s="53">
        <v>2</v>
      </c>
      <c r="F1101" s="11">
        <f>SUM(DistMeetingQuota[[#This Row],[Sep]:[Feb]])</f>
        <v>2</v>
      </c>
      <c r="G1101" s="11">
        <f>DistMeetingQuota[[#This Row],[Quota]]-DistMeetingQuota[[#This Row],[Actual]]</f>
        <v>0</v>
      </c>
      <c r="H1101" s="49">
        <f>DistMeetingQuota[[#This Row],[Actual]]/DistMeetingQuota[[#This Row],[Quota]]</f>
        <v>1</v>
      </c>
      <c r="I1101" s="4"/>
      <c r="J1101" s="2"/>
      <c r="K1101" s="2"/>
      <c r="L1101" s="2">
        <v>2</v>
      </c>
      <c r="M1101" s="2"/>
      <c r="N1101" s="2"/>
      <c r="O1101" s="2"/>
      <c r="P1101" s="139" t="s">
        <v>10</v>
      </c>
      <c r="Q1101" s="2"/>
    </row>
    <row r="1102" spans="1:17" s="109" customFormat="1" ht="30">
      <c r="A1102" s="4">
        <v>2187207</v>
      </c>
      <c r="B1102" s="138" t="s">
        <v>1025</v>
      </c>
      <c r="C1102" s="4" t="s">
        <v>19</v>
      </c>
      <c r="D1102" s="78" t="s">
        <v>11</v>
      </c>
      <c r="E1102" s="53">
        <v>2</v>
      </c>
      <c r="F1102" s="11">
        <f>SUM(DistMeetingQuota[[#This Row],[Sep]:[Feb]])</f>
        <v>2</v>
      </c>
      <c r="G1102" s="11">
        <f>DistMeetingQuota[[#This Row],[Quota]]-DistMeetingQuota[[#This Row],[Actual]]</f>
        <v>0</v>
      </c>
      <c r="H1102" s="49">
        <f>DistMeetingQuota[[#This Row],[Actual]]/DistMeetingQuota[[#This Row],[Quota]]</f>
        <v>1</v>
      </c>
      <c r="I1102" s="4"/>
      <c r="J1102" s="2"/>
      <c r="K1102" s="2"/>
      <c r="L1102" s="2">
        <v>2</v>
      </c>
      <c r="M1102" s="2"/>
      <c r="N1102" s="2"/>
      <c r="O1102" s="2"/>
      <c r="P1102" s="139" t="s">
        <v>10</v>
      </c>
      <c r="Q1102" s="2"/>
    </row>
    <row r="1103" spans="1:17" s="109" customFormat="1" ht="30">
      <c r="A1103" s="4">
        <v>2156588</v>
      </c>
      <c r="B1103" s="138" t="s">
        <v>1027</v>
      </c>
      <c r="C1103" s="4" t="s">
        <v>19</v>
      </c>
      <c r="D1103" s="78" t="s">
        <v>5</v>
      </c>
      <c r="E1103" s="53">
        <v>24</v>
      </c>
      <c r="F1103" s="11">
        <f>SUM(DistMeetingQuota[[#This Row],[Sep]:[Feb]])</f>
        <v>2</v>
      </c>
      <c r="G1103" s="11">
        <f>DistMeetingQuota[[#This Row],[Quota]]-DistMeetingQuota[[#This Row],[Actual]]</f>
        <v>22</v>
      </c>
      <c r="H1103" s="49">
        <f>DistMeetingQuota[[#This Row],[Actual]]/DistMeetingQuota[[#This Row],[Quota]]</f>
        <v>8.3333333333333329E-2</v>
      </c>
      <c r="I1103" s="4"/>
      <c r="J1103" s="2"/>
      <c r="K1103" s="2">
        <v>2</v>
      </c>
      <c r="L1103" s="2"/>
      <c r="M1103" s="2"/>
      <c r="N1103" s="2"/>
      <c r="O1103" s="2"/>
      <c r="P1103" s="120"/>
      <c r="Q1103" s="2"/>
    </row>
    <row r="1104" spans="1:17" s="109" customFormat="1">
      <c r="A1104" s="4">
        <v>2342137</v>
      </c>
      <c r="B1104" s="138" t="s">
        <v>1029</v>
      </c>
      <c r="C1104" s="4" t="s">
        <v>19</v>
      </c>
      <c r="D1104" s="78" t="s">
        <v>11</v>
      </c>
      <c r="E1104" s="53">
        <v>2</v>
      </c>
      <c r="F1104" s="11">
        <f>SUM(DistMeetingQuota[[#This Row],[Sep]:[Feb]])</f>
        <v>1</v>
      </c>
      <c r="G1104" s="11">
        <f>DistMeetingQuota[[#This Row],[Quota]]-DistMeetingQuota[[#This Row],[Actual]]</f>
        <v>1</v>
      </c>
      <c r="H1104" s="49">
        <f>DistMeetingQuota[[#This Row],[Actual]]/DistMeetingQuota[[#This Row],[Quota]]</f>
        <v>0.5</v>
      </c>
      <c r="I1104" s="4"/>
      <c r="J1104" s="2"/>
      <c r="K1104" s="2">
        <v>1</v>
      </c>
      <c r="L1104" s="2"/>
      <c r="M1104" s="2"/>
      <c r="N1104" s="2"/>
      <c r="O1104" s="2"/>
      <c r="P1104" s="139" t="s">
        <v>10</v>
      </c>
      <c r="Q1104" s="2"/>
    </row>
    <row r="1105" spans="1:17" s="109" customFormat="1" ht="30">
      <c r="A1105" s="380">
        <v>2496305</v>
      </c>
      <c r="B1105" s="381" t="s">
        <v>1035</v>
      </c>
      <c r="C1105" s="380" t="s">
        <v>19</v>
      </c>
      <c r="D1105" s="382" t="s">
        <v>11</v>
      </c>
      <c r="E1105" s="383">
        <v>2</v>
      </c>
      <c r="F1105" s="384">
        <f>SUM(DistMeetingQuota[[#This Row],[Sep]:[Feb]])</f>
        <v>1</v>
      </c>
      <c r="G1105" s="384">
        <f>DistMeetingQuota[[#This Row],[Quota]]-DistMeetingQuota[[#This Row],[Actual]]</f>
        <v>1</v>
      </c>
      <c r="H1105" s="385">
        <f>DistMeetingQuota[[#This Row],[Actual]]/DistMeetingQuota[[#This Row],[Quota]]</f>
        <v>0.5</v>
      </c>
      <c r="I1105" s="380"/>
      <c r="J1105" s="386"/>
      <c r="K1105" s="386">
        <v>1</v>
      </c>
      <c r="L1105" s="386"/>
      <c r="M1105" s="386"/>
      <c r="N1105" s="386"/>
      <c r="O1105" s="386"/>
      <c r="P1105" s="387" t="s">
        <v>10</v>
      </c>
      <c r="Q1105" s="386"/>
    </row>
    <row r="1106" spans="1:17" s="109" customFormat="1" ht="30">
      <c r="A1106" s="380">
        <v>2192176</v>
      </c>
      <c r="B1106" s="381" t="s">
        <v>1036</v>
      </c>
      <c r="C1106" s="380" t="s">
        <v>21</v>
      </c>
      <c r="D1106" s="382" t="s">
        <v>13</v>
      </c>
      <c r="E1106" s="383">
        <v>2</v>
      </c>
      <c r="F1106" s="384">
        <f>SUM(DistMeetingQuota[[#This Row],[Sep]:[Feb]])</f>
        <v>2</v>
      </c>
      <c r="G1106" s="384">
        <f>DistMeetingQuota[[#This Row],[Quota]]-DistMeetingQuota[[#This Row],[Actual]]</f>
        <v>0</v>
      </c>
      <c r="H1106" s="385">
        <f>DistMeetingQuota[[#This Row],[Actual]]/DistMeetingQuota[[#This Row],[Quota]]</f>
        <v>1</v>
      </c>
      <c r="I1106" s="380"/>
      <c r="J1106" s="386"/>
      <c r="K1106" s="386">
        <v>1</v>
      </c>
      <c r="L1106" s="386">
        <v>1</v>
      </c>
      <c r="M1106" s="386"/>
      <c r="N1106" s="386"/>
      <c r="O1106" s="386"/>
      <c r="P1106" s="387" t="s">
        <v>14</v>
      </c>
      <c r="Q1106" s="386"/>
    </row>
    <row r="1107" spans="1:17" s="154" customFormat="1" ht="30">
      <c r="A1107" s="147">
        <v>2748988</v>
      </c>
      <c r="B1107" s="148" t="s">
        <v>1037</v>
      </c>
      <c r="C1107" s="147" t="s">
        <v>21</v>
      </c>
      <c r="D1107" s="149" t="s">
        <v>11</v>
      </c>
      <c r="E1107" s="150">
        <v>3</v>
      </c>
      <c r="F1107" s="157">
        <f>SUM(DistMeetingQuota[[#This Row],[Sep]:[Feb]])</f>
        <v>2</v>
      </c>
      <c r="G1107" s="157">
        <f>DistMeetingQuota[[#This Row],[Quota]]-DistMeetingQuota[[#This Row],[Actual]]</f>
        <v>1</v>
      </c>
      <c r="H1107" s="158">
        <f>DistMeetingQuota[[#This Row],[Actual]]/DistMeetingQuota[[#This Row],[Quota]]</f>
        <v>0.66666666666666663</v>
      </c>
      <c r="I1107" s="147"/>
      <c r="J1107" s="152"/>
      <c r="K1107" s="152"/>
      <c r="L1107" s="152"/>
      <c r="M1107" s="152">
        <v>2</v>
      </c>
      <c r="N1107" s="152"/>
      <c r="O1107" s="152" t="s">
        <v>1111</v>
      </c>
      <c r="P1107" s="246" t="s">
        <v>14</v>
      </c>
      <c r="Q1107" s="152"/>
    </row>
    <row r="1108" spans="1:17" s="109" customFormat="1" ht="30">
      <c r="A1108" s="380">
        <v>2748988</v>
      </c>
      <c r="B1108" s="381" t="s">
        <v>1037</v>
      </c>
      <c r="C1108" s="380" t="s">
        <v>21</v>
      </c>
      <c r="D1108" s="382" t="s">
        <v>13</v>
      </c>
      <c r="E1108" s="383">
        <v>2</v>
      </c>
      <c r="F1108" s="384">
        <f>SUM(DistMeetingQuota[[#This Row],[Sep]:[Feb]])</f>
        <v>1</v>
      </c>
      <c r="G1108" s="384">
        <f>DistMeetingQuota[[#This Row],[Quota]]-DistMeetingQuota[[#This Row],[Actual]]</f>
        <v>1</v>
      </c>
      <c r="H1108" s="385">
        <f>DistMeetingQuota[[#This Row],[Actual]]/DistMeetingQuota[[#This Row],[Quota]]</f>
        <v>0.5</v>
      </c>
      <c r="I1108" s="380"/>
      <c r="J1108" s="386"/>
      <c r="K1108" s="386">
        <v>1</v>
      </c>
      <c r="L1108" s="386"/>
      <c r="M1108" s="386"/>
      <c r="N1108" s="386"/>
      <c r="O1108" s="386"/>
      <c r="P1108" s="387" t="s">
        <v>14</v>
      </c>
      <c r="Q1108" s="386"/>
    </row>
    <row r="1109" spans="1:17" s="109" customFormat="1" ht="30">
      <c r="A1109" s="380">
        <v>2086999</v>
      </c>
      <c r="B1109" s="381" t="s">
        <v>1038</v>
      </c>
      <c r="C1109" s="380" t="s">
        <v>19</v>
      </c>
      <c r="D1109" s="382" t="s">
        <v>5</v>
      </c>
      <c r="E1109" s="383">
        <v>24</v>
      </c>
      <c r="F1109" s="384">
        <f>SUM(DistMeetingQuota[[#This Row],[Sep]:[Feb]])</f>
        <v>3</v>
      </c>
      <c r="G1109" s="384">
        <f>DistMeetingQuota[[#This Row],[Quota]]-DistMeetingQuota[[#This Row],[Actual]]</f>
        <v>21</v>
      </c>
      <c r="H1109" s="385">
        <f>DistMeetingQuota[[#This Row],[Actual]]/DistMeetingQuota[[#This Row],[Quota]]</f>
        <v>0.125</v>
      </c>
      <c r="I1109" s="380"/>
      <c r="J1109" s="386"/>
      <c r="K1109" s="386"/>
      <c r="L1109" s="386"/>
      <c r="M1109" s="386">
        <v>3</v>
      </c>
      <c r="N1109" s="386"/>
      <c r="O1109" s="386"/>
      <c r="P1109" s="387" t="s">
        <v>55</v>
      </c>
      <c r="Q1109" s="386"/>
    </row>
    <row r="1110" spans="1:17" s="109" customFormat="1" ht="30">
      <c r="A1110" s="380">
        <v>2086999</v>
      </c>
      <c r="B1110" s="381" t="s">
        <v>1038</v>
      </c>
      <c r="C1110" s="380" t="s">
        <v>19</v>
      </c>
      <c r="D1110" s="382" t="s">
        <v>11</v>
      </c>
      <c r="E1110" s="383">
        <v>2</v>
      </c>
      <c r="F1110" s="384">
        <f>SUM(DistMeetingQuota[[#This Row],[Sep]:[Feb]])</f>
        <v>2</v>
      </c>
      <c r="G1110" s="384">
        <f>DistMeetingQuota[[#This Row],[Quota]]-DistMeetingQuota[[#This Row],[Actual]]</f>
        <v>0</v>
      </c>
      <c r="H1110" s="385">
        <f>DistMeetingQuota[[#This Row],[Actual]]/DistMeetingQuota[[#This Row],[Quota]]</f>
        <v>1</v>
      </c>
      <c r="I1110" s="380"/>
      <c r="J1110" s="386"/>
      <c r="K1110" s="386">
        <v>2</v>
      </c>
      <c r="L1110" s="386"/>
      <c r="M1110" s="386"/>
      <c r="N1110" s="386"/>
      <c r="O1110" s="386"/>
      <c r="P1110" s="387" t="s">
        <v>55</v>
      </c>
      <c r="Q1110" s="386"/>
    </row>
    <row r="1111" spans="1:17" s="109" customFormat="1" ht="30">
      <c r="A1111" s="380">
        <v>2400509</v>
      </c>
      <c r="B1111" s="381" t="s">
        <v>1007</v>
      </c>
      <c r="C1111" s="380" t="s">
        <v>19</v>
      </c>
      <c r="D1111" s="382" t="s">
        <v>11</v>
      </c>
      <c r="E1111" s="383">
        <v>2</v>
      </c>
      <c r="F1111" s="384">
        <f>SUM(DistMeetingQuota[[#This Row],[Sep]:[Feb]])</f>
        <v>2</v>
      </c>
      <c r="G1111" s="384">
        <f>DistMeetingQuota[[#This Row],[Quota]]-DistMeetingQuota[[#This Row],[Actual]]</f>
        <v>0</v>
      </c>
      <c r="H1111" s="385">
        <f>DistMeetingQuota[[#This Row],[Actual]]/DistMeetingQuota[[#This Row],[Quota]]</f>
        <v>1</v>
      </c>
      <c r="I1111" s="380"/>
      <c r="J1111" s="386"/>
      <c r="K1111" s="386">
        <v>2</v>
      </c>
      <c r="L1111" s="386"/>
      <c r="M1111" s="386"/>
      <c r="N1111" s="386"/>
      <c r="O1111" s="386"/>
      <c r="P1111" s="387" t="s">
        <v>55</v>
      </c>
      <c r="Q1111" s="386"/>
    </row>
    <row r="1112" spans="1:17" s="109" customFormat="1" ht="30">
      <c r="A1112" s="4">
        <v>2424505</v>
      </c>
      <c r="B1112" s="138" t="s">
        <v>1150</v>
      </c>
      <c r="C1112" s="4" t="s">
        <v>19</v>
      </c>
      <c r="D1112" s="78" t="s">
        <v>11</v>
      </c>
      <c r="E1112" s="53">
        <v>2</v>
      </c>
      <c r="F1112" s="11">
        <f>SUM(DistMeetingQuota[[#This Row],[Sep]:[Feb]])</f>
        <v>2</v>
      </c>
      <c r="G1112" s="11">
        <f>DistMeetingQuota[[#This Row],[Quota]]-DistMeetingQuota[[#This Row],[Actual]]</f>
        <v>0</v>
      </c>
      <c r="H1112" s="49">
        <f>DistMeetingQuota[[#This Row],[Actual]]/DistMeetingQuota[[#This Row],[Quota]]</f>
        <v>1</v>
      </c>
      <c r="I1112" s="4"/>
      <c r="J1112" s="2"/>
      <c r="K1112" s="2">
        <v>1</v>
      </c>
      <c r="L1112" s="2">
        <v>1</v>
      </c>
      <c r="M1112" s="2"/>
      <c r="N1112" s="2"/>
      <c r="O1112" s="2"/>
      <c r="P1112" s="139" t="s">
        <v>10</v>
      </c>
      <c r="Q1112" s="2"/>
    </row>
    <row r="1113" spans="1:17" s="109" customFormat="1" ht="30">
      <c r="A1113" s="380">
        <v>2354105</v>
      </c>
      <c r="B1113" s="381" t="s">
        <v>1039</v>
      </c>
      <c r="C1113" s="380" t="s">
        <v>19</v>
      </c>
      <c r="D1113" s="382" t="s">
        <v>11</v>
      </c>
      <c r="E1113" s="383">
        <v>2</v>
      </c>
      <c r="F1113" s="384">
        <f>SUM(DistMeetingQuota[[#This Row],[Sep]:[Feb]])</f>
        <v>2</v>
      </c>
      <c r="G1113" s="384">
        <f>DistMeetingQuota[[#This Row],[Quota]]-DistMeetingQuota[[#This Row],[Actual]]</f>
        <v>0</v>
      </c>
      <c r="H1113" s="385">
        <f>DistMeetingQuota[[#This Row],[Actual]]/DistMeetingQuota[[#This Row],[Quota]]</f>
        <v>1</v>
      </c>
      <c r="I1113" s="380"/>
      <c r="J1113" s="386"/>
      <c r="K1113" s="386"/>
      <c r="L1113" s="386">
        <v>2</v>
      </c>
      <c r="M1113" s="386"/>
      <c r="N1113" s="386"/>
      <c r="O1113" s="386"/>
      <c r="P1113" s="387" t="s">
        <v>10</v>
      </c>
      <c r="Q1113" s="386"/>
    </row>
    <row r="1114" spans="1:17" s="109" customFormat="1" ht="30">
      <c r="A1114" s="380">
        <v>2289005</v>
      </c>
      <c r="B1114" s="381" t="s">
        <v>1040</v>
      </c>
      <c r="C1114" s="380" t="s">
        <v>19</v>
      </c>
      <c r="D1114" s="382" t="s">
        <v>11</v>
      </c>
      <c r="E1114" s="383">
        <v>2</v>
      </c>
      <c r="F1114" s="384">
        <f>SUM(DistMeetingQuota[[#This Row],[Sep]:[Feb]])</f>
        <v>2</v>
      </c>
      <c r="G1114" s="384">
        <f>DistMeetingQuota[[#This Row],[Quota]]-DistMeetingQuota[[#This Row],[Actual]]</f>
        <v>0</v>
      </c>
      <c r="H1114" s="385">
        <f>DistMeetingQuota[[#This Row],[Actual]]/DistMeetingQuota[[#This Row],[Quota]]</f>
        <v>1</v>
      </c>
      <c r="I1114" s="380"/>
      <c r="J1114" s="386"/>
      <c r="K1114" s="386"/>
      <c r="L1114" s="386">
        <v>2</v>
      </c>
      <c r="M1114" s="386"/>
      <c r="N1114" s="386"/>
      <c r="O1114" s="386"/>
      <c r="P1114" s="387" t="s">
        <v>10</v>
      </c>
      <c r="Q1114" s="386"/>
    </row>
    <row r="1115" spans="1:17" s="109" customFormat="1" ht="30">
      <c r="A1115" s="4">
        <v>2097309</v>
      </c>
      <c r="B1115" s="138" t="s">
        <v>1041</v>
      </c>
      <c r="C1115" s="4" t="s">
        <v>19</v>
      </c>
      <c r="D1115" s="78" t="s">
        <v>11</v>
      </c>
      <c r="E1115" s="53">
        <v>2</v>
      </c>
      <c r="F1115" s="11">
        <f>SUM(DistMeetingQuota[[#This Row],[Sep]:[Feb]])</f>
        <v>2</v>
      </c>
      <c r="G1115" s="11">
        <f>DistMeetingQuota[[#This Row],[Quota]]-DistMeetingQuota[[#This Row],[Actual]]</f>
        <v>0</v>
      </c>
      <c r="H1115" s="49">
        <f>DistMeetingQuota[[#This Row],[Actual]]/DistMeetingQuota[[#This Row],[Quota]]</f>
        <v>1</v>
      </c>
      <c r="I1115" s="4"/>
      <c r="J1115" s="2"/>
      <c r="K1115" s="2">
        <v>2</v>
      </c>
      <c r="L1115" s="2"/>
      <c r="M1115" s="2"/>
      <c r="N1115" s="2"/>
      <c r="O1115" s="2"/>
      <c r="P1115" s="139" t="s">
        <v>14</v>
      </c>
      <c r="Q1115" s="2"/>
    </row>
    <row r="1116" spans="1:17" s="109" customFormat="1" ht="30">
      <c r="A1116" s="4">
        <v>2333298</v>
      </c>
      <c r="B1116" s="138" t="s">
        <v>1042</v>
      </c>
      <c r="C1116" s="4" t="s">
        <v>19</v>
      </c>
      <c r="D1116" s="78" t="s">
        <v>11</v>
      </c>
      <c r="E1116" s="53">
        <v>2</v>
      </c>
      <c r="F1116" s="11">
        <f>SUM(DistMeetingQuota[[#This Row],[Sep]:[Feb]])</f>
        <v>2</v>
      </c>
      <c r="G1116" s="11">
        <f>DistMeetingQuota[[#This Row],[Quota]]-DistMeetingQuota[[#This Row],[Actual]]</f>
        <v>0</v>
      </c>
      <c r="H1116" s="49">
        <f>DistMeetingQuota[[#This Row],[Actual]]/DistMeetingQuota[[#This Row],[Quota]]</f>
        <v>1</v>
      </c>
      <c r="I1116" s="4"/>
      <c r="J1116" s="2"/>
      <c r="K1116" s="2">
        <v>2</v>
      </c>
      <c r="L1116" s="2"/>
      <c r="M1116" s="2"/>
      <c r="N1116" s="2"/>
      <c r="O1116" s="2"/>
      <c r="P1116" s="139" t="s">
        <v>14</v>
      </c>
      <c r="Q1116" s="2"/>
    </row>
    <row r="1117" spans="1:17" s="109" customFormat="1">
      <c r="A1117" s="4">
        <v>2268648</v>
      </c>
      <c r="B1117" s="138" t="s">
        <v>1043</v>
      </c>
      <c r="C1117" s="4" t="s">
        <v>19</v>
      </c>
      <c r="D1117" s="78" t="s">
        <v>11</v>
      </c>
      <c r="E1117" s="53">
        <v>2</v>
      </c>
      <c r="F1117" s="11">
        <f>SUM(DistMeetingQuota[[#This Row],[Sep]:[Feb]])</f>
        <v>1</v>
      </c>
      <c r="G1117" s="11">
        <f>DistMeetingQuota[[#This Row],[Quota]]-DistMeetingQuota[[#This Row],[Actual]]</f>
        <v>1</v>
      </c>
      <c r="H1117" s="49">
        <f>DistMeetingQuota[[#This Row],[Actual]]/DistMeetingQuota[[#This Row],[Quota]]</f>
        <v>0.5</v>
      </c>
      <c r="I1117" s="4"/>
      <c r="J1117" s="2"/>
      <c r="K1117" s="2">
        <v>1</v>
      </c>
      <c r="L1117" s="2"/>
      <c r="M1117" s="2"/>
      <c r="N1117" s="2"/>
      <c r="O1117" s="2"/>
      <c r="P1117" s="139" t="s">
        <v>10</v>
      </c>
      <c r="Q1117" s="2"/>
    </row>
    <row r="1118" spans="1:17" s="109" customFormat="1" ht="30">
      <c r="A1118" s="4">
        <v>2495359</v>
      </c>
      <c r="B1118" s="138" t="s">
        <v>1044</v>
      </c>
      <c r="C1118" s="4" t="s">
        <v>19</v>
      </c>
      <c r="D1118" s="78" t="s">
        <v>11</v>
      </c>
      <c r="E1118" s="53">
        <v>2</v>
      </c>
      <c r="F1118" s="11">
        <f>SUM(DistMeetingQuota[[#This Row],[Sep]:[Feb]])</f>
        <v>1</v>
      </c>
      <c r="G1118" s="11">
        <f>DistMeetingQuota[[#This Row],[Quota]]-DistMeetingQuota[[#This Row],[Actual]]</f>
        <v>1</v>
      </c>
      <c r="H1118" s="49">
        <f>DistMeetingQuota[[#This Row],[Actual]]/DistMeetingQuota[[#This Row],[Quota]]</f>
        <v>0.5</v>
      </c>
      <c r="I1118" s="4"/>
      <c r="J1118" s="2"/>
      <c r="K1118" s="2">
        <v>1</v>
      </c>
      <c r="L1118" s="2"/>
      <c r="M1118" s="2"/>
      <c r="N1118" s="2"/>
      <c r="O1118" s="2"/>
      <c r="P1118" s="139" t="s">
        <v>10</v>
      </c>
      <c r="Q1118" s="2"/>
    </row>
    <row r="1119" spans="1:17" s="109" customFormat="1" ht="30">
      <c r="A1119" s="4">
        <v>2615763</v>
      </c>
      <c r="B1119" s="138" t="s">
        <v>1045</v>
      </c>
      <c r="C1119" s="4" t="s">
        <v>19</v>
      </c>
      <c r="D1119" s="78" t="s">
        <v>5</v>
      </c>
      <c r="E1119" s="53">
        <v>24</v>
      </c>
      <c r="F1119" s="11">
        <f>SUM(DistMeetingQuota[[#This Row],[Sep]:[Feb]])</f>
        <v>16</v>
      </c>
      <c r="G1119" s="11">
        <f>DistMeetingQuota[[#This Row],[Quota]]-DistMeetingQuota[[#This Row],[Actual]]</f>
        <v>8</v>
      </c>
      <c r="H1119" s="49">
        <f>DistMeetingQuota[[#This Row],[Actual]]/DistMeetingQuota[[#This Row],[Quota]]</f>
        <v>0.66666666666666663</v>
      </c>
      <c r="I1119" s="4"/>
      <c r="J1119" s="2"/>
      <c r="K1119" s="2">
        <v>5</v>
      </c>
      <c r="L1119" s="2">
        <v>4</v>
      </c>
      <c r="M1119" s="2">
        <v>4</v>
      </c>
      <c r="N1119" s="2">
        <v>3</v>
      </c>
      <c r="O1119" s="2"/>
      <c r="P1119" s="139" t="s">
        <v>67</v>
      </c>
      <c r="Q1119" s="2"/>
    </row>
    <row r="1120" spans="1:17" s="109" customFormat="1" ht="30">
      <c r="A1120" s="388">
        <v>2275696</v>
      </c>
      <c r="B1120" s="389" t="s">
        <v>1047</v>
      </c>
      <c r="C1120" s="388" t="s">
        <v>19</v>
      </c>
      <c r="D1120" s="390" t="s">
        <v>5</v>
      </c>
      <c r="E1120" s="391">
        <v>24</v>
      </c>
      <c r="F1120" s="392">
        <f>SUM(DistMeetingQuota[[#This Row],[Sep]:[Feb]])</f>
        <v>0</v>
      </c>
      <c r="G1120" s="392">
        <f>DistMeetingQuota[[#This Row],[Quota]]-DistMeetingQuota[[#This Row],[Actual]]</f>
        <v>24</v>
      </c>
      <c r="H1120" s="393">
        <f>DistMeetingQuota[[#This Row],[Actual]]/DistMeetingQuota[[#This Row],[Quota]]</f>
        <v>0</v>
      </c>
      <c r="I1120" s="388"/>
      <c r="J1120" s="394"/>
      <c r="K1120" s="394"/>
      <c r="L1120" s="394"/>
      <c r="M1120" s="394"/>
      <c r="N1120" s="394"/>
      <c r="O1120" s="394"/>
      <c r="P1120" s="395" t="s">
        <v>478</v>
      </c>
      <c r="Q1120" s="394"/>
    </row>
    <row r="1121" spans="1:17" s="109" customFormat="1" ht="30">
      <c r="A1121" s="4">
        <v>2606903</v>
      </c>
      <c r="B1121" s="138" t="s">
        <v>1046</v>
      </c>
      <c r="C1121" s="4" t="s">
        <v>19</v>
      </c>
      <c r="D1121" s="78" t="s">
        <v>5</v>
      </c>
      <c r="E1121" s="53">
        <v>24</v>
      </c>
      <c r="F1121" s="11">
        <f>SUM(DistMeetingQuota[[#This Row],[Sep]:[Feb]])</f>
        <v>12</v>
      </c>
      <c r="G1121" s="11">
        <f>DistMeetingQuota[[#This Row],[Quota]]-DistMeetingQuota[[#This Row],[Actual]]</f>
        <v>12</v>
      </c>
      <c r="H1121" s="49">
        <f>DistMeetingQuota[[#This Row],[Actual]]/DistMeetingQuota[[#This Row],[Quota]]</f>
        <v>0.5</v>
      </c>
      <c r="I1121" s="4"/>
      <c r="J1121" s="2">
        <v>4</v>
      </c>
      <c r="K1121" s="2">
        <v>4</v>
      </c>
      <c r="L1121" s="2">
        <v>4</v>
      </c>
      <c r="M1121" s="2"/>
      <c r="N1121" s="2"/>
      <c r="O1121" s="2"/>
      <c r="P1121" s="139" t="s">
        <v>56</v>
      </c>
      <c r="Q1121" s="2"/>
    </row>
    <row r="1122" spans="1:17" s="109" customFormat="1">
      <c r="A1122" s="4">
        <v>2406125</v>
      </c>
      <c r="B1122" s="138" t="s">
        <v>1054</v>
      </c>
      <c r="C1122" s="4" t="s">
        <v>19</v>
      </c>
      <c r="D1122" s="78" t="s">
        <v>11</v>
      </c>
      <c r="E1122" s="53">
        <v>2</v>
      </c>
      <c r="F1122" s="11">
        <f>SUM(DistMeetingQuota[[#This Row],[Sep]:[Feb]])</f>
        <v>2</v>
      </c>
      <c r="G1122" s="11">
        <f>DistMeetingQuota[[#This Row],[Quota]]-DistMeetingQuota[[#This Row],[Actual]]</f>
        <v>0</v>
      </c>
      <c r="H1122" s="49">
        <f>DistMeetingQuota[[#This Row],[Actual]]/DistMeetingQuota[[#This Row],[Quota]]</f>
        <v>1</v>
      </c>
      <c r="I1122" s="4"/>
      <c r="J1122" s="2"/>
      <c r="K1122" s="2"/>
      <c r="L1122" s="2">
        <v>1</v>
      </c>
      <c r="M1122" s="2"/>
      <c r="N1122" s="2">
        <v>1</v>
      </c>
      <c r="O1122" s="2"/>
      <c r="P1122" s="139" t="s">
        <v>10</v>
      </c>
      <c r="Q1122" s="2"/>
    </row>
    <row r="1123" spans="1:17" s="109" customFormat="1" ht="30">
      <c r="A1123" s="4">
        <v>2230254</v>
      </c>
      <c r="B1123" s="138" t="s">
        <v>1057</v>
      </c>
      <c r="C1123" s="4" t="s">
        <v>19</v>
      </c>
      <c r="D1123" s="78" t="s">
        <v>11</v>
      </c>
      <c r="E1123" s="53">
        <v>2</v>
      </c>
      <c r="F1123" s="11">
        <f>SUM(DistMeetingQuota[[#This Row],[Sep]:[Feb]])</f>
        <v>2</v>
      </c>
      <c r="G1123" s="11">
        <f>DistMeetingQuota[[#This Row],[Quota]]-DistMeetingQuota[[#This Row],[Actual]]</f>
        <v>0</v>
      </c>
      <c r="H1123" s="49">
        <f>DistMeetingQuota[[#This Row],[Actual]]/DistMeetingQuota[[#This Row],[Quota]]</f>
        <v>1</v>
      </c>
      <c r="I1123" s="4"/>
      <c r="J1123" s="2"/>
      <c r="K1123" s="2"/>
      <c r="L1123" s="2">
        <v>2</v>
      </c>
      <c r="M1123" s="2"/>
      <c r="N1123" s="2"/>
      <c r="O1123" s="2"/>
      <c r="P1123" s="139" t="s">
        <v>10</v>
      </c>
      <c r="Q1123" s="2"/>
    </row>
    <row r="1124" spans="1:17" s="109" customFormat="1" ht="30">
      <c r="A1124" s="4">
        <v>2566345</v>
      </c>
      <c r="B1124" s="138" t="s">
        <v>1056</v>
      </c>
      <c r="C1124" s="4" t="s">
        <v>36</v>
      </c>
      <c r="D1124" s="78" t="s">
        <v>11</v>
      </c>
      <c r="E1124" s="53">
        <v>2</v>
      </c>
      <c r="F1124" s="11">
        <f>SUM(DistMeetingQuota[[#This Row],[Sep]:[Feb]])</f>
        <v>2</v>
      </c>
      <c r="G1124" s="11">
        <f>DistMeetingQuota[[#This Row],[Quota]]-DistMeetingQuota[[#This Row],[Actual]]</f>
        <v>0</v>
      </c>
      <c r="H1124" s="49">
        <f>DistMeetingQuota[[#This Row],[Actual]]/DistMeetingQuota[[#This Row],[Quota]]</f>
        <v>1</v>
      </c>
      <c r="I1124" s="4"/>
      <c r="J1124" s="2"/>
      <c r="K1124" s="2"/>
      <c r="L1124" s="2">
        <v>2</v>
      </c>
      <c r="M1124" s="2"/>
      <c r="N1124" s="2"/>
      <c r="O1124" s="2"/>
      <c r="P1124" s="139" t="s">
        <v>10</v>
      </c>
      <c r="Q1124" s="2"/>
    </row>
    <row r="1125" spans="1:17" s="109" customFormat="1">
      <c r="A1125" s="4">
        <v>2406125</v>
      </c>
      <c r="B1125" s="138" t="s">
        <v>1054</v>
      </c>
      <c r="C1125" s="4" t="s">
        <v>19</v>
      </c>
      <c r="D1125" s="78" t="s">
        <v>5</v>
      </c>
      <c r="E1125" s="53">
        <v>24</v>
      </c>
      <c r="F1125" s="11">
        <f>SUM(DistMeetingQuota[[#This Row],[Sep]:[Feb]])</f>
        <v>0</v>
      </c>
      <c r="G1125" s="11">
        <f>DistMeetingQuota[[#This Row],[Quota]]-DistMeetingQuota[[#This Row],[Actual]]</f>
        <v>24</v>
      </c>
      <c r="H1125" s="49">
        <f>DistMeetingQuota[[#This Row],[Actual]]/DistMeetingQuota[[#This Row],[Quota]]</f>
        <v>0</v>
      </c>
      <c r="I1125" s="4"/>
      <c r="J1125" s="2"/>
      <c r="K1125" s="2"/>
      <c r="L1125" s="2"/>
      <c r="M1125" s="2"/>
      <c r="N1125" s="2"/>
      <c r="O1125" s="2"/>
      <c r="P1125" s="139" t="s">
        <v>10</v>
      </c>
      <c r="Q1125" s="2"/>
    </row>
    <row r="1126" spans="1:17" s="109" customFormat="1" ht="30">
      <c r="A1126" s="4">
        <v>2034086</v>
      </c>
      <c r="B1126" s="138" t="s">
        <v>1051</v>
      </c>
      <c r="C1126" s="4" t="s">
        <v>19</v>
      </c>
      <c r="D1126" s="78" t="s">
        <v>5</v>
      </c>
      <c r="E1126" s="53">
        <v>24</v>
      </c>
      <c r="F1126" s="11">
        <f>SUM(DistMeetingQuota[[#This Row],[Sep]:[Feb]])</f>
        <v>1</v>
      </c>
      <c r="G1126" s="11">
        <f>DistMeetingQuota[[#This Row],[Quota]]-DistMeetingQuota[[#This Row],[Actual]]</f>
        <v>23</v>
      </c>
      <c r="H1126" s="49">
        <f>DistMeetingQuota[[#This Row],[Actual]]/DistMeetingQuota[[#This Row],[Quota]]</f>
        <v>4.1666666666666664E-2</v>
      </c>
      <c r="I1126" s="4"/>
      <c r="J1126" s="2"/>
      <c r="K1126" s="2"/>
      <c r="L1126" s="2">
        <v>1</v>
      </c>
      <c r="M1126" s="2"/>
      <c r="N1126" s="2"/>
      <c r="O1126" s="2"/>
      <c r="P1126" s="139" t="s">
        <v>10</v>
      </c>
      <c r="Q1126" s="2"/>
    </row>
    <row r="1127" spans="1:17" s="109" customFormat="1" ht="30">
      <c r="A1127" s="4">
        <v>2119251</v>
      </c>
      <c r="B1127" s="138" t="s">
        <v>1058</v>
      </c>
      <c r="C1127" s="4" t="s">
        <v>19</v>
      </c>
      <c r="D1127" s="78" t="s">
        <v>11</v>
      </c>
      <c r="E1127" s="53">
        <v>2</v>
      </c>
      <c r="F1127" s="11">
        <f>SUM(DistMeetingQuota[[#This Row],[Sep]:[Feb]])</f>
        <v>2</v>
      </c>
      <c r="G1127" s="11">
        <f>DistMeetingQuota[[#This Row],[Quota]]-DistMeetingQuota[[#This Row],[Actual]]</f>
        <v>0</v>
      </c>
      <c r="H1127" s="49">
        <f>DistMeetingQuota[[#This Row],[Actual]]/DistMeetingQuota[[#This Row],[Quota]]</f>
        <v>1</v>
      </c>
      <c r="I1127" s="4"/>
      <c r="J1127" s="2"/>
      <c r="K1127" s="2"/>
      <c r="L1127" s="2">
        <v>1</v>
      </c>
      <c r="M1127" s="2"/>
      <c r="N1127" s="2">
        <v>1</v>
      </c>
      <c r="O1127" s="2"/>
      <c r="P1127" s="139" t="s">
        <v>56</v>
      </c>
      <c r="Q1127" s="2"/>
    </row>
    <row r="1128" spans="1:17" s="109" customFormat="1" ht="30">
      <c r="A1128" s="4">
        <v>2241234</v>
      </c>
      <c r="B1128" s="138" t="s">
        <v>1059</v>
      </c>
      <c r="C1128" s="4" t="s">
        <v>19</v>
      </c>
      <c r="D1128" s="78" t="s">
        <v>5</v>
      </c>
      <c r="E1128" s="53">
        <v>24</v>
      </c>
      <c r="F1128" s="11">
        <f>SUM(DistMeetingQuota[[#This Row],[Sep]:[Feb]])</f>
        <v>2</v>
      </c>
      <c r="G1128" s="11">
        <f>DistMeetingQuota[[#This Row],[Quota]]-DistMeetingQuota[[#This Row],[Actual]]</f>
        <v>22</v>
      </c>
      <c r="H1128" s="49">
        <f>DistMeetingQuota[[#This Row],[Actual]]/DistMeetingQuota[[#This Row],[Quota]]</f>
        <v>8.3333333333333329E-2</v>
      </c>
      <c r="I1128" s="4"/>
      <c r="J1128" s="2"/>
      <c r="K1128" s="2"/>
      <c r="L1128" s="2">
        <v>1</v>
      </c>
      <c r="M1128" s="2">
        <v>1</v>
      </c>
      <c r="N1128" s="2"/>
      <c r="O1128" s="2"/>
      <c r="P1128" s="139" t="s">
        <v>10</v>
      </c>
      <c r="Q1128" s="2"/>
    </row>
    <row r="1129" spans="1:17" s="109" customFormat="1" ht="30">
      <c r="A1129" s="4">
        <v>2241234</v>
      </c>
      <c r="B1129" s="138" t="s">
        <v>1059</v>
      </c>
      <c r="C1129" s="4" t="s">
        <v>19</v>
      </c>
      <c r="D1129" s="78" t="s">
        <v>11</v>
      </c>
      <c r="E1129" s="53">
        <v>2</v>
      </c>
      <c r="F1129" s="11">
        <f>SUM(DistMeetingQuota[[#This Row],[Sep]:[Feb]])</f>
        <v>1</v>
      </c>
      <c r="G1129" s="11">
        <f>DistMeetingQuota[[#This Row],[Quota]]-DistMeetingQuota[[#This Row],[Actual]]</f>
        <v>1</v>
      </c>
      <c r="H1129" s="49">
        <f>DistMeetingQuota[[#This Row],[Actual]]/DistMeetingQuota[[#This Row],[Quota]]</f>
        <v>0.5</v>
      </c>
      <c r="I1129" s="4"/>
      <c r="J1129" s="2"/>
      <c r="K1129" s="2"/>
      <c r="L1129" s="2">
        <v>1</v>
      </c>
      <c r="M1129" s="2"/>
      <c r="N1129" s="2"/>
      <c r="O1129" s="2"/>
      <c r="P1129" s="139" t="s">
        <v>10</v>
      </c>
      <c r="Q1129" s="2"/>
    </row>
    <row r="1130" spans="1:17" s="109" customFormat="1" ht="30">
      <c r="A1130" s="4">
        <v>2204719</v>
      </c>
      <c r="B1130" s="138" t="s">
        <v>1060</v>
      </c>
      <c r="C1130" s="4" t="s">
        <v>19</v>
      </c>
      <c r="D1130" s="78" t="s">
        <v>11</v>
      </c>
      <c r="E1130" s="53">
        <v>2</v>
      </c>
      <c r="F1130" s="11">
        <f>SUM(DistMeetingQuota[[#This Row],[Sep]:[Feb]])</f>
        <v>0</v>
      </c>
      <c r="G1130" s="11">
        <f>DistMeetingQuota[[#This Row],[Quota]]-DistMeetingQuota[[#This Row],[Actual]]</f>
        <v>2</v>
      </c>
      <c r="H1130" s="49">
        <f>DistMeetingQuota[[#This Row],[Actual]]/DistMeetingQuota[[#This Row],[Quota]]</f>
        <v>0</v>
      </c>
      <c r="I1130" s="4"/>
      <c r="J1130" s="2"/>
      <c r="K1130" s="2"/>
      <c r="L1130" s="2"/>
      <c r="M1130" s="2"/>
      <c r="N1130" s="2"/>
      <c r="O1130" s="2"/>
      <c r="P1130" s="139" t="s">
        <v>4</v>
      </c>
      <c r="Q1130" s="2"/>
    </row>
    <row r="1131" spans="1:17" s="109" customFormat="1" ht="30">
      <c r="A1131" s="399">
        <v>2291306</v>
      </c>
      <c r="B1131" s="400" t="s">
        <v>823</v>
      </c>
      <c r="C1131" s="399" t="s">
        <v>19</v>
      </c>
      <c r="D1131" s="401" t="s">
        <v>5</v>
      </c>
      <c r="E1131" s="402">
        <v>24</v>
      </c>
      <c r="F1131" s="403">
        <f>SUM(DistMeetingQuota[[#This Row],[Sep]:[Feb]])</f>
        <v>4</v>
      </c>
      <c r="G1131" s="403">
        <f>DistMeetingQuota[[#This Row],[Quota]]-DistMeetingQuota[[#This Row],[Actual]]</f>
        <v>20</v>
      </c>
      <c r="H1131" s="404">
        <f>DistMeetingQuota[[#This Row],[Actual]]/DistMeetingQuota[[#This Row],[Quota]]</f>
        <v>0.16666666666666666</v>
      </c>
      <c r="I1131" s="399"/>
      <c r="J1131" s="405"/>
      <c r="K1131" s="405">
        <v>4</v>
      </c>
      <c r="L1131" s="405"/>
      <c r="M1131" s="405"/>
      <c r="N1131" s="405"/>
      <c r="O1131" s="405"/>
      <c r="P1131" s="406" t="s">
        <v>6</v>
      </c>
      <c r="Q1131" s="405"/>
    </row>
    <row r="1132" spans="1:17" s="109" customFormat="1" ht="30">
      <c r="A1132" s="4">
        <v>2458683</v>
      </c>
      <c r="B1132" s="138" t="s">
        <v>1063</v>
      </c>
      <c r="C1132" s="4" t="s">
        <v>19</v>
      </c>
      <c r="D1132" s="78" t="s">
        <v>5</v>
      </c>
      <c r="E1132" s="53">
        <v>24</v>
      </c>
      <c r="F1132" s="11">
        <f>SUM(DistMeetingQuota[[#This Row],[Sep]:[Feb]])</f>
        <v>6</v>
      </c>
      <c r="G1132" s="11">
        <f>DistMeetingQuota[[#This Row],[Quota]]-DistMeetingQuota[[#This Row],[Actual]]</f>
        <v>18</v>
      </c>
      <c r="H1132" s="49">
        <f>DistMeetingQuota[[#This Row],[Actual]]/DistMeetingQuota[[#This Row],[Quota]]</f>
        <v>0.25</v>
      </c>
      <c r="I1132" s="4"/>
      <c r="J1132" s="2"/>
      <c r="K1132" s="2"/>
      <c r="L1132" s="2">
        <v>4</v>
      </c>
      <c r="M1132" s="2"/>
      <c r="N1132" s="2">
        <v>2</v>
      </c>
      <c r="O1132" s="2"/>
      <c r="P1132" s="139" t="s">
        <v>10</v>
      </c>
      <c r="Q1132" s="2"/>
    </row>
    <row r="1133" spans="1:17" s="109" customFormat="1">
      <c r="A1133" s="407">
        <v>2009811</v>
      </c>
      <c r="B1133" s="408" t="s">
        <v>1072</v>
      </c>
      <c r="C1133" s="407" t="s">
        <v>21</v>
      </c>
      <c r="D1133" s="409" t="s">
        <v>11</v>
      </c>
      <c r="E1133" s="410">
        <v>3</v>
      </c>
      <c r="F1133" s="411">
        <f>SUM(DistMeetingQuota[[#This Row],[Sep]:[Feb]])</f>
        <v>1</v>
      </c>
      <c r="G1133" s="411">
        <f>DistMeetingQuota[[#This Row],[Quota]]-DistMeetingQuota[[#This Row],[Actual]]</f>
        <v>2</v>
      </c>
      <c r="H1133" s="412">
        <f>DistMeetingQuota[[#This Row],[Actual]]/DistMeetingQuota[[#This Row],[Quota]]</f>
        <v>0.33333333333333331</v>
      </c>
      <c r="I1133" s="407"/>
      <c r="J1133" s="413"/>
      <c r="K1133" s="413"/>
      <c r="L1133" s="413"/>
      <c r="M1133" s="413"/>
      <c r="N1133" s="413">
        <v>1</v>
      </c>
      <c r="O1133" s="413"/>
      <c r="P1133" s="414" t="s">
        <v>14</v>
      </c>
      <c r="Q1133" s="413"/>
    </row>
    <row r="1134" spans="1:17" s="109" customFormat="1">
      <c r="A1134" s="407">
        <v>2009811</v>
      </c>
      <c r="B1134" s="408" t="s">
        <v>1072</v>
      </c>
      <c r="C1134" s="407" t="s">
        <v>21</v>
      </c>
      <c r="D1134" s="409" t="s">
        <v>13</v>
      </c>
      <c r="E1134" s="410">
        <v>2</v>
      </c>
      <c r="F1134" s="411">
        <f>SUM(DistMeetingQuota[[#This Row],[Sep]:[Feb]])</f>
        <v>1</v>
      </c>
      <c r="G1134" s="411">
        <f>DistMeetingQuota[[#This Row],[Quota]]-DistMeetingQuota[[#This Row],[Actual]]</f>
        <v>1</v>
      </c>
      <c r="H1134" s="412">
        <f>DistMeetingQuota[[#This Row],[Actual]]/DistMeetingQuota[[#This Row],[Quota]]</f>
        <v>0.5</v>
      </c>
      <c r="I1134" s="407"/>
      <c r="J1134" s="413"/>
      <c r="K1134" s="413"/>
      <c r="L1134" s="413">
        <v>1</v>
      </c>
      <c r="M1134" s="413"/>
      <c r="N1134" s="413"/>
      <c r="O1134" s="413"/>
      <c r="P1134" s="414" t="s">
        <v>14</v>
      </c>
      <c r="Q1134" s="413"/>
    </row>
    <row r="1135" spans="1:17" s="109" customFormat="1" ht="30">
      <c r="A1135" s="407">
        <v>2162847</v>
      </c>
      <c r="B1135" s="408" t="s">
        <v>466</v>
      </c>
      <c r="C1135" s="407" t="s">
        <v>21</v>
      </c>
      <c r="D1135" s="409" t="s">
        <v>13</v>
      </c>
      <c r="E1135" s="410">
        <v>2</v>
      </c>
      <c r="F1135" s="411">
        <f>SUM(DistMeetingQuota[[#This Row],[Sep]:[Feb]])</f>
        <v>1</v>
      </c>
      <c r="G1135" s="411">
        <f>DistMeetingQuota[[#This Row],[Quota]]-DistMeetingQuota[[#This Row],[Actual]]</f>
        <v>1</v>
      </c>
      <c r="H1135" s="412">
        <f>DistMeetingQuota[[#This Row],[Actual]]/DistMeetingQuota[[#This Row],[Quota]]</f>
        <v>0.5</v>
      </c>
      <c r="I1135" s="407"/>
      <c r="J1135" s="413"/>
      <c r="K1135" s="413"/>
      <c r="L1135" s="413">
        <v>1</v>
      </c>
      <c r="M1135" s="413"/>
      <c r="N1135" s="413"/>
      <c r="O1135" s="413"/>
      <c r="P1135" s="414" t="s">
        <v>14</v>
      </c>
      <c r="Q1135" s="413"/>
    </row>
    <row r="1136" spans="1:17" s="109" customFormat="1" ht="30">
      <c r="A1136" s="4">
        <v>2616219</v>
      </c>
      <c r="B1136" s="138" t="s">
        <v>1073</v>
      </c>
      <c r="C1136" s="4" t="s">
        <v>19</v>
      </c>
      <c r="D1136" s="78" t="s">
        <v>5</v>
      </c>
      <c r="E1136" s="53">
        <v>24</v>
      </c>
      <c r="F1136" s="11">
        <f>SUM(DistMeetingQuota[[#This Row],[Sep]:[Feb]])</f>
        <v>10</v>
      </c>
      <c r="G1136" s="11">
        <f>DistMeetingQuota[[#This Row],[Quota]]-DistMeetingQuota[[#This Row],[Actual]]</f>
        <v>14</v>
      </c>
      <c r="H1136" s="49">
        <f>DistMeetingQuota[[#This Row],[Actual]]/DistMeetingQuota[[#This Row],[Quota]]</f>
        <v>0.41666666666666669</v>
      </c>
      <c r="I1136" s="4"/>
      <c r="J1136" s="2"/>
      <c r="K1136" s="2"/>
      <c r="L1136" s="2">
        <v>5</v>
      </c>
      <c r="M1136" s="2">
        <v>5</v>
      </c>
      <c r="N1136" s="2"/>
      <c r="O1136" s="2"/>
      <c r="P1136" s="139" t="s">
        <v>472</v>
      </c>
      <c r="Q1136" s="2"/>
    </row>
    <row r="1137" spans="1:17" s="109" customFormat="1">
      <c r="A1137" s="4">
        <v>2123003</v>
      </c>
      <c r="B1137" s="138" t="s">
        <v>1074</v>
      </c>
      <c r="C1137" s="4" t="s">
        <v>19</v>
      </c>
      <c r="D1137" s="78" t="s">
        <v>11</v>
      </c>
      <c r="E1137" s="53">
        <v>2</v>
      </c>
      <c r="F1137" s="11">
        <f>SUM(DistMeetingQuota[[#This Row],[Sep]:[Feb]])</f>
        <v>1</v>
      </c>
      <c r="G1137" s="11">
        <f>DistMeetingQuota[[#This Row],[Quota]]-DistMeetingQuota[[#This Row],[Actual]]</f>
        <v>1</v>
      </c>
      <c r="H1137" s="49">
        <f>DistMeetingQuota[[#This Row],[Actual]]/DistMeetingQuota[[#This Row],[Quota]]</f>
        <v>0.5</v>
      </c>
      <c r="I1137" s="4"/>
      <c r="J1137" s="2"/>
      <c r="K1137" s="2"/>
      <c r="L1137" s="2">
        <v>1</v>
      </c>
      <c r="M1137" s="2"/>
      <c r="N1137" s="2"/>
      <c r="O1137" s="2"/>
      <c r="P1137" s="139" t="s">
        <v>14</v>
      </c>
      <c r="Q1137" s="2"/>
    </row>
    <row r="1138" spans="1:17" s="109" customFormat="1">
      <c r="A1138" s="4">
        <v>2121819</v>
      </c>
      <c r="B1138" s="138" t="s">
        <v>425</v>
      </c>
      <c r="C1138" s="4" t="s">
        <v>19</v>
      </c>
      <c r="D1138" s="78" t="s">
        <v>11</v>
      </c>
      <c r="E1138" s="53">
        <v>2</v>
      </c>
      <c r="F1138" s="11">
        <f>SUM(DistMeetingQuota[[#This Row],[Sep]:[Feb]])</f>
        <v>0</v>
      </c>
      <c r="G1138" s="11">
        <f>DistMeetingQuota[[#This Row],[Quota]]-DistMeetingQuota[[#This Row],[Actual]]</f>
        <v>2</v>
      </c>
      <c r="H1138" s="49">
        <f>DistMeetingQuota[[#This Row],[Actual]]/DistMeetingQuota[[#This Row],[Quota]]</f>
        <v>0</v>
      </c>
      <c r="I1138" s="4"/>
      <c r="J1138" s="2"/>
      <c r="K1138" s="2"/>
      <c r="L1138" s="2"/>
      <c r="M1138" s="2"/>
      <c r="N1138" s="2"/>
      <c r="O1138" s="2"/>
      <c r="P1138" s="139" t="s">
        <v>14</v>
      </c>
      <c r="Q1138" s="2"/>
    </row>
    <row r="1139" spans="1:17" s="109" customFormat="1" ht="30">
      <c r="A1139" s="4">
        <v>2668793</v>
      </c>
      <c r="B1139" s="138" t="s">
        <v>1075</v>
      </c>
      <c r="C1139" s="4" t="s">
        <v>19</v>
      </c>
      <c r="D1139" s="78" t="s">
        <v>11</v>
      </c>
      <c r="E1139" s="53">
        <v>2</v>
      </c>
      <c r="F1139" s="11">
        <f>SUM(DistMeetingQuota[[#This Row],[Sep]:[Feb]])</f>
        <v>1</v>
      </c>
      <c r="G1139" s="11">
        <f>DistMeetingQuota[[#This Row],[Quota]]-DistMeetingQuota[[#This Row],[Actual]]</f>
        <v>1</v>
      </c>
      <c r="H1139" s="49">
        <f>DistMeetingQuota[[#This Row],[Actual]]/DistMeetingQuota[[#This Row],[Quota]]</f>
        <v>0.5</v>
      </c>
      <c r="I1139" s="4"/>
      <c r="J1139" s="2"/>
      <c r="K1139" s="2"/>
      <c r="L1139" s="2">
        <v>1</v>
      </c>
      <c r="M1139" s="2"/>
      <c r="N1139" s="2"/>
      <c r="O1139" s="2"/>
      <c r="P1139" s="139" t="s">
        <v>503</v>
      </c>
      <c r="Q1139" s="2"/>
    </row>
    <row r="1140" spans="1:17" s="109" customFormat="1" ht="30">
      <c r="A1140" s="4">
        <v>2702637</v>
      </c>
      <c r="B1140" s="138" t="s">
        <v>1076</v>
      </c>
      <c r="C1140" s="4" t="s">
        <v>19</v>
      </c>
      <c r="D1140" s="78" t="s">
        <v>11</v>
      </c>
      <c r="E1140" s="53">
        <v>2</v>
      </c>
      <c r="F1140" s="11">
        <f>SUM(DistMeetingQuota[[#This Row],[Sep]:[Feb]])</f>
        <v>1</v>
      </c>
      <c r="G1140" s="11">
        <f>DistMeetingQuota[[#This Row],[Quota]]-DistMeetingQuota[[#This Row],[Actual]]</f>
        <v>1</v>
      </c>
      <c r="H1140" s="49">
        <f>DistMeetingQuota[[#This Row],[Actual]]/DistMeetingQuota[[#This Row],[Quota]]</f>
        <v>0.5</v>
      </c>
      <c r="I1140" s="4"/>
      <c r="J1140" s="2"/>
      <c r="K1140" s="2"/>
      <c r="L1140" s="2">
        <v>1</v>
      </c>
      <c r="M1140" s="2"/>
      <c r="N1140" s="2"/>
      <c r="O1140" s="2"/>
      <c r="P1140" s="139" t="s">
        <v>473</v>
      </c>
      <c r="Q1140" s="2"/>
    </row>
    <row r="1141" spans="1:17" s="109" customFormat="1">
      <c r="A1141" s="4">
        <v>2739340</v>
      </c>
      <c r="B1141" s="138" t="s">
        <v>362</v>
      </c>
      <c r="C1141" s="4" t="s">
        <v>19</v>
      </c>
      <c r="D1141" s="78" t="s">
        <v>11</v>
      </c>
      <c r="E1141" s="53">
        <v>2</v>
      </c>
      <c r="F1141" s="11">
        <f>SUM(DistMeetingQuota[[#This Row],[Sep]:[Feb]])</f>
        <v>1</v>
      </c>
      <c r="G1141" s="11">
        <f>DistMeetingQuota[[#This Row],[Quota]]-DistMeetingQuota[[#This Row],[Actual]]</f>
        <v>1</v>
      </c>
      <c r="H1141" s="49">
        <f>DistMeetingQuota[[#This Row],[Actual]]/DistMeetingQuota[[#This Row],[Quota]]</f>
        <v>0.5</v>
      </c>
      <c r="I1141" s="4"/>
      <c r="J1141" s="2"/>
      <c r="K1141" s="2"/>
      <c r="L1141" s="2">
        <v>1</v>
      </c>
      <c r="M1141" s="2"/>
      <c r="N1141" s="2"/>
      <c r="O1141" s="2"/>
      <c r="P1141" s="139" t="s">
        <v>473</v>
      </c>
      <c r="Q1141" s="2"/>
    </row>
    <row r="1142" spans="1:17" s="109" customFormat="1" ht="30">
      <c r="A1142" s="4">
        <v>2536759</v>
      </c>
      <c r="B1142" s="138" t="s">
        <v>1077</v>
      </c>
      <c r="C1142" s="4" t="s">
        <v>19</v>
      </c>
      <c r="D1142" s="78" t="s">
        <v>11</v>
      </c>
      <c r="E1142" s="53">
        <v>2</v>
      </c>
      <c r="F1142" s="11">
        <f>SUM(DistMeetingQuota[[#This Row],[Sep]:[Feb]])</f>
        <v>1</v>
      </c>
      <c r="G1142" s="11">
        <f>DistMeetingQuota[[#This Row],[Quota]]-DistMeetingQuota[[#This Row],[Actual]]</f>
        <v>1</v>
      </c>
      <c r="H1142" s="49">
        <f>DistMeetingQuota[[#This Row],[Actual]]/DistMeetingQuota[[#This Row],[Quota]]</f>
        <v>0.5</v>
      </c>
      <c r="I1142" s="4"/>
      <c r="J1142" s="2"/>
      <c r="K1142" s="2"/>
      <c r="L1142" s="2">
        <v>1</v>
      </c>
      <c r="M1142" s="2"/>
      <c r="N1142" s="2"/>
      <c r="O1142" s="2"/>
      <c r="P1142" s="139" t="s">
        <v>473</v>
      </c>
      <c r="Q1142" s="2"/>
    </row>
    <row r="1143" spans="1:17" s="109" customFormat="1" ht="30">
      <c r="A1143" s="4">
        <v>2205067</v>
      </c>
      <c r="B1143" s="138" t="s">
        <v>1078</v>
      </c>
      <c r="C1143" s="4" t="s">
        <v>19</v>
      </c>
      <c r="D1143" s="78" t="s">
        <v>5</v>
      </c>
      <c r="E1143" s="53">
        <v>24</v>
      </c>
      <c r="F1143" s="11">
        <f>SUM(DistMeetingQuota[[#This Row],[Sep]:[Feb]])</f>
        <v>1</v>
      </c>
      <c r="G1143" s="11">
        <f>DistMeetingQuota[[#This Row],[Quota]]-DistMeetingQuota[[#This Row],[Actual]]</f>
        <v>23</v>
      </c>
      <c r="H1143" s="49">
        <f>DistMeetingQuota[[#This Row],[Actual]]/DistMeetingQuota[[#This Row],[Quota]]</f>
        <v>4.1666666666666664E-2</v>
      </c>
      <c r="I1143" s="4"/>
      <c r="J1143" s="2"/>
      <c r="K1143" s="2"/>
      <c r="L1143" s="2">
        <v>1</v>
      </c>
      <c r="M1143" s="2"/>
      <c r="N1143" s="2"/>
      <c r="O1143" s="2"/>
      <c r="P1143" s="139" t="s">
        <v>473</v>
      </c>
      <c r="Q1143" s="2"/>
    </row>
    <row r="1144" spans="1:17" s="109" customFormat="1">
      <c r="A1144" s="4">
        <v>2008435</v>
      </c>
      <c r="B1144" s="138" t="s">
        <v>1079</v>
      </c>
      <c r="C1144" s="4" t="s">
        <v>19</v>
      </c>
      <c r="D1144" s="78" t="s">
        <v>11</v>
      </c>
      <c r="E1144" s="53">
        <v>2</v>
      </c>
      <c r="F1144" s="11">
        <f>SUM(DistMeetingQuota[[#This Row],[Sep]:[Feb]])</f>
        <v>0</v>
      </c>
      <c r="G1144" s="11">
        <f>DistMeetingQuota[[#This Row],[Quota]]-DistMeetingQuota[[#This Row],[Actual]]</f>
        <v>2</v>
      </c>
      <c r="H1144" s="49">
        <f>DistMeetingQuota[[#This Row],[Actual]]/DistMeetingQuota[[#This Row],[Quota]]</f>
        <v>0</v>
      </c>
      <c r="I1144" s="4"/>
      <c r="J1144" s="2"/>
      <c r="K1144" s="2"/>
      <c r="L1144" s="2"/>
      <c r="M1144" s="2"/>
      <c r="N1144" s="2"/>
      <c r="O1144" s="2"/>
      <c r="P1144" s="139" t="s">
        <v>10</v>
      </c>
      <c r="Q1144" s="2"/>
    </row>
    <row r="1145" spans="1:17" s="109" customFormat="1">
      <c r="A1145" s="4">
        <v>2564680</v>
      </c>
      <c r="B1145" s="138" t="s">
        <v>1080</v>
      </c>
      <c r="C1145" s="4" t="s">
        <v>19</v>
      </c>
      <c r="D1145" s="78" t="s">
        <v>11</v>
      </c>
      <c r="E1145" s="53">
        <v>2</v>
      </c>
      <c r="F1145" s="11">
        <f>SUM(DistMeetingQuota[[#This Row],[Sep]:[Feb]])</f>
        <v>0</v>
      </c>
      <c r="G1145" s="11">
        <f>DistMeetingQuota[[#This Row],[Quota]]-DistMeetingQuota[[#This Row],[Actual]]</f>
        <v>2</v>
      </c>
      <c r="H1145" s="49">
        <f>DistMeetingQuota[[#This Row],[Actual]]/DistMeetingQuota[[#This Row],[Quota]]</f>
        <v>0</v>
      </c>
      <c r="I1145" s="4"/>
      <c r="J1145" s="2"/>
      <c r="K1145" s="2"/>
      <c r="L1145" s="2"/>
      <c r="M1145" s="2"/>
      <c r="N1145" s="2"/>
      <c r="O1145" s="2"/>
      <c r="P1145" s="139" t="s">
        <v>10</v>
      </c>
      <c r="Q1145" s="2"/>
    </row>
    <row r="1146" spans="1:17" s="109" customFormat="1" ht="30">
      <c r="A1146" s="4">
        <v>2080378</v>
      </c>
      <c r="B1146" s="138" t="s">
        <v>1157</v>
      </c>
      <c r="C1146" s="4" t="s">
        <v>19</v>
      </c>
      <c r="D1146" s="78" t="s">
        <v>5</v>
      </c>
      <c r="E1146" s="53">
        <v>24</v>
      </c>
      <c r="F1146" s="11">
        <f>SUM(DistMeetingQuota[[#This Row],[Sep]:[Feb]])</f>
        <v>8</v>
      </c>
      <c r="G1146" s="11">
        <f>DistMeetingQuota[[#This Row],[Quota]]-DistMeetingQuota[[#This Row],[Actual]]</f>
        <v>16</v>
      </c>
      <c r="H1146" s="49">
        <f>DistMeetingQuota[[#This Row],[Actual]]/DistMeetingQuota[[#This Row],[Quota]]</f>
        <v>0.33333333333333331</v>
      </c>
      <c r="I1146" s="4"/>
      <c r="J1146" s="2"/>
      <c r="K1146" s="2"/>
      <c r="L1146" s="2">
        <v>2</v>
      </c>
      <c r="M1146" s="2">
        <v>2</v>
      </c>
      <c r="N1146" s="2">
        <v>4</v>
      </c>
      <c r="O1146" s="2"/>
      <c r="P1146" s="139" t="s">
        <v>472</v>
      </c>
      <c r="Q1146" s="2"/>
    </row>
    <row r="1147" spans="1:17" s="109" customFormat="1">
      <c r="A1147" s="4">
        <v>2461722</v>
      </c>
      <c r="B1147" s="138" t="s">
        <v>1081</v>
      </c>
      <c r="C1147" s="4" t="s">
        <v>19</v>
      </c>
      <c r="D1147" s="78" t="s">
        <v>11</v>
      </c>
      <c r="E1147" s="53">
        <v>2</v>
      </c>
      <c r="F1147" s="11">
        <f>SUM(DistMeetingQuota[[#This Row],[Sep]:[Feb]])</f>
        <v>0</v>
      </c>
      <c r="G1147" s="11">
        <f>DistMeetingQuota[[#This Row],[Quota]]-DistMeetingQuota[[#This Row],[Actual]]</f>
        <v>2</v>
      </c>
      <c r="H1147" s="49">
        <f>DistMeetingQuota[[#This Row],[Actual]]/DistMeetingQuota[[#This Row],[Quota]]</f>
        <v>0</v>
      </c>
      <c r="I1147" s="4"/>
      <c r="J1147" s="2"/>
      <c r="K1147" s="2"/>
      <c r="L1147" s="2"/>
      <c r="M1147" s="2"/>
      <c r="N1147" s="2"/>
      <c r="O1147" s="2"/>
      <c r="P1147" s="139" t="s">
        <v>10</v>
      </c>
      <c r="Q1147" s="2"/>
    </row>
    <row r="1148" spans="1:17" s="109" customFormat="1" ht="30">
      <c r="A1148" s="4">
        <v>2719855</v>
      </c>
      <c r="B1148" s="138" t="s">
        <v>1086</v>
      </c>
      <c r="C1148" s="4" t="s">
        <v>19</v>
      </c>
      <c r="D1148" s="78" t="s">
        <v>11</v>
      </c>
      <c r="E1148" s="53">
        <v>2</v>
      </c>
      <c r="F1148" s="11">
        <f>SUM(DistMeetingQuota[[#This Row],[Sep]:[Feb]])</f>
        <v>1</v>
      </c>
      <c r="G1148" s="11">
        <f>DistMeetingQuota[[#This Row],[Quota]]-DistMeetingQuota[[#This Row],[Actual]]</f>
        <v>1</v>
      </c>
      <c r="H1148" s="49">
        <f>DistMeetingQuota[[#This Row],[Actual]]/DistMeetingQuota[[#This Row],[Quota]]</f>
        <v>0.5</v>
      </c>
      <c r="I1148" s="4"/>
      <c r="J1148" s="2"/>
      <c r="K1148" s="2"/>
      <c r="L1148" s="2">
        <v>1</v>
      </c>
      <c r="M1148" s="2"/>
      <c r="N1148" s="2"/>
      <c r="O1148" s="2"/>
      <c r="P1148" s="139" t="s">
        <v>10</v>
      </c>
      <c r="Q1148" s="2"/>
    </row>
    <row r="1149" spans="1:17" s="109" customFormat="1" ht="30">
      <c r="A1149" s="4">
        <v>2280744</v>
      </c>
      <c r="B1149" s="138" t="s">
        <v>1087</v>
      </c>
      <c r="C1149" s="4" t="s">
        <v>19</v>
      </c>
      <c r="D1149" s="78" t="s">
        <v>11</v>
      </c>
      <c r="E1149" s="53">
        <v>2</v>
      </c>
      <c r="F1149" s="11">
        <f>SUM(DistMeetingQuota[[#This Row],[Sep]:[Feb]])</f>
        <v>1</v>
      </c>
      <c r="G1149" s="11">
        <f>DistMeetingQuota[[#This Row],[Quota]]-DistMeetingQuota[[#This Row],[Actual]]</f>
        <v>1</v>
      </c>
      <c r="H1149" s="49">
        <f>DistMeetingQuota[[#This Row],[Actual]]/DistMeetingQuota[[#This Row],[Quota]]</f>
        <v>0.5</v>
      </c>
      <c r="I1149" s="4"/>
      <c r="J1149" s="2"/>
      <c r="K1149" s="2"/>
      <c r="L1149" s="2">
        <v>1</v>
      </c>
      <c r="M1149" s="2"/>
      <c r="N1149" s="2"/>
      <c r="O1149" s="2"/>
      <c r="P1149" s="139" t="s">
        <v>14</v>
      </c>
      <c r="Q1149" s="2"/>
    </row>
    <row r="1150" spans="1:17" s="109" customFormat="1" ht="30">
      <c r="A1150" s="4">
        <v>2562086</v>
      </c>
      <c r="B1150" s="138" t="s">
        <v>1092</v>
      </c>
      <c r="C1150" s="4" t="s">
        <v>19</v>
      </c>
      <c r="D1150" s="78" t="s">
        <v>11</v>
      </c>
      <c r="E1150" s="53">
        <v>2</v>
      </c>
      <c r="F1150" s="11">
        <f>SUM(DistMeetingQuota[[#This Row],[Sep]:[Feb]])</f>
        <v>1</v>
      </c>
      <c r="G1150" s="11">
        <f>DistMeetingQuota[[#This Row],[Quota]]-DistMeetingQuota[[#This Row],[Actual]]</f>
        <v>1</v>
      </c>
      <c r="H1150" s="49">
        <f>DistMeetingQuota[[#This Row],[Actual]]/DistMeetingQuota[[#This Row],[Quota]]</f>
        <v>0.5</v>
      </c>
      <c r="I1150" s="4"/>
      <c r="J1150" s="2"/>
      <c r="K1150" s="2"/>
      <c r="L1150" s="2">
        <v>1</v>
      </c>
      <c r="M1150" s="2"/>
      <c r="N1150" s="2"/>
      <c r="O1150" s="2"/>
      <c r="P1150" s="139" t="s">
        <v>14</v>
      </c>
      <c r="Q1150" s="2"/>
    </row>
    <row r="1151" spans="1:17" s="109" customFormat="1" ht="30">
      <c r="A1151" s="4">
        <v>2240647</v>
      </c>
      <c r="B1151" s="138" t="s">
        <v>739</v>
      </c>
      <c r="C1151" s="4" t="s">
        <v>19</v>
      </c>
      <c r="D1151" s="78" t="s">
        <v>11</v>
      </c>
      <c r="E1151" s="53">
        <v>2</v>
      </c>
      <c r="F1151" s="11">
        <f>SUM(DistMeetingQuota[[#This Row],[Sep]:[Feb]])</f>
        <v>1</v>
      </c>
      <c r="G1151" s="11">
        <f>DistMeetingQuota[[#This Row],[Quota]]-DistMeetingQuota[[#This Row],[Actual]]</f>
        <v>1</v>
      </c>
      <c r="H1151" s="49">
        <f>DistMeetingQuota[[#This Row],[Actual]]/DistMeetingQuota[[#This Row],[Quota]]</f>
        <v>0.5</v>
      </c>
      <c r="I1151" s="4"/>
      <c r="J1151" s="2"/>
      <c r="K1151" s="2"/>
      <c r="L1151" s="2">
        <v>1</v>
      </c>
      <c r="M1151" s="2"/>
      <c r="N1151" s="2"/>
      <c r="O1151" s="2"/>
      <c r="P1151" s="139" t="s">
        <v>14</v>
      </c>
      <c r="Q1151" s="2"/>
    </row>
    <row r="1152" spans="1:17" s="109" customFormat="1" ht="30">
      <c r="A1152" s="4">
        <v>2615763</v>
      </c>
      <c r="B1152" s="138" t="s">
        <v>1045</v>
      </c>
      <c r="C1152" s="4" t="s">
        <v>19</v>
      </c>
      <c r="D1152" s="78" t="s">
        <v>11</v>
      </c>
      <c r="E1152" s="53">
        <v>2</v>
      </c>
      <c r="F1152" s="11">
        <f>SUM(DistMeetingQuota[[#This Row],[Sep]:[Feb]])</f>
        <v>2</v>
      </c>
      <c r="G1152" s="11">
        <f>DistMeetingQuota[[#This Row],[Quota]]-DistMeetingQuota[[#This Row],[Actual]]</f>
        <v>0</v>
      </c>
      <c r="H1152" s="49">
        <f>DistMeetingQuota[[#This Row],[Actual]]/DistMeetingQuota[[#This Row],[Quota]]</f>
        <v>1</v>
      </c>
      <c r="I1152" s="4"/>
      <c r="J1152" s="2"/>
      <c r="K1152" s="2"/>
      <c r="L1152" s="2">
        <v>1</v>
      </c>
      <c r="M1152" s="2">
        <v>1</v>
      </c>
      <c r="N1152" s="2"/>
      <c r="O1152" s="2"/>
      <c r="P1152" s="139" t="s">
        <v>67</v>
      </c>
      <c r="Q1152" s="2"/>
    </row>
    <row r="1153" spans="1:17" s="109" customFormat="1" ht="30">
      <c r="A1153" s="4">
        <v>2528991</v>
      </c>
      <c r="B1153" s="138" t="s">
        <v>1093</v>
      </c>
      <c r="C1153" s="4" t="s">
        <v>19</v>
      </c>
      <c r="D1153" s="78" t="s">
        <v>11</v>
      </c>
      <c r="E1153" s="53">
        <v>2</v>
      </c>
      <c r="F1153" s="11">
        <f>SUM(DistMeetingQuota[[#This Row],[Sep]:[Feb]])</f>
        <v>1</v>
      </c>
      <c r="G1153" s="11">
        <f>DistMeetingQuota[[#This Row],[Quota]]-DistMeetingQuota[[#This Row],[Actual]]</f>
        <v>1</v>
      </c>
      <c r="H1153" s="49">
        <f>DistMeetingQuota[[#This Row],[Actual]]/DistMeetingQuota[[#This Row],[Quota]]</f>
        <v>0.5</v>
      </c>
      <c r="I1153" s="4"/>
      <c r="J1153" s="2"/>
      <c r="K1153" s="2"/>
      <c r="L1153" s="2">
        <v>1</v>
      </c>
      <c r="M1153" s="2"/>
      <c r="N1153" s="2"/>
      <c r="O1153" s="2"/>
      <c r="P1153" s="139" t="s">
        <v>6</v>
      </c>
      <c r="Q1153" s="2"/>
    </row>
    <row r="1154" spans="1:17" s="109" customFormat="1" ht="30">
      <c r="A1154" s="4">
        <v>2216120</v>
      </c>
      <c r="B1154" s="138" t="s">
        <v>1094</v>
      </c>
      <c r="C1154" s="4" t="s">
        <v>19</v>
      </c>
      <c r="D1154" s="78" t="s">
        <v>11</v>
      </c>
      <c r="E1154" s="53">
        <v>2</v>
      </c>
      <c r="F1154" s="11">
        <f>SUM(DistMeetingQuota[[#This Row],[Sep]:[Feb]])</f>
        <v>1</v>
      </c>
      <c r="G1154" s="11">
        <f>DistMeetingQuota[[#This Row],[Quota]]-DistMeetingQuota[[#This Row],[Actual]]</f>
        <v>1</v>
      </c>
      <c r="H1154" s="49">
        <f>DistMeetingQuota[[#This Row],[Actual]]/DistMeetingQuota[[#This Row],[Quota]]</f>
        <v>0.5</v>
      </c>
      <c r="I1154" s="4"/>
      <c r="J1154" s="2"/>
      <c r="K1154" s="2"/>
      <c r="L1154" s="2">
        <v>1</v>
      </c>
      <c r="M1154" s="2"/>
      <c r="N1154" s="2"/>
      <c r="O1154" s="2"/>
      <c r="P1154" s="139" t="s">
        <v>14</v>
      </c>
      <c r="Q1154" s="2"/>
    </row>
    <row r="1155" spans="1:17" s="109" customFormat="1" ht="30">
      <c r="A1155" s="4">
        <v>2328672</v>
      </c>
      <c r="B1155" s="138" t="s">
        <v>1095</v>
      </c>
      <c r="C1155" s="4" t="s">
        <v>19</v>
      </c>
      <c r="D1155" s="78" t="s">
        <v>11</v>
      </c>
      <c r="E1155" s="53">
        <v>2</v>
      </c>
      <c r="F1155" s="11">
        <f>SUM(DistMeetingQuota[[#This Row],[Sep]:[Feb]])</f>
        <v>1</v>
      </c>
      <c r="G1155" s="11">
        <f>DistMeetingQuota[[#This Row],[Quota]]-DistMeetingQuota[[#This Row],[Actual]]</f>
        <v>1</v>
      </c>
      <c r="H1155" s="49">
        <f>DistMeetingQuota[[#This Row],[Actual]]/DistMeetingQuota[[#This Row],[Quota]]</f>
        <v>0.5</v>
      </c>
      <c r="I1155" s="4"/>
      <c r="J1155" s="2"/>
      <c r="K1155" s="2"/>
      <c r="L1155" s="2">
        <v>1</v>
      </c>
      <c r="M1155" s="2"/>
      <c r="N1155" s="2"/>
      <c r="O1155" s="2"/>
      <c r="P1155" s="139" t="s">
        <v>14</v>
      </c>
      <c r="Q1155" s="2"/>
    </row>
    <row r="1156" spans="1:17" s="109" customFormat="1">
      <c r="A1156" s="4">
        <v>2211630</v>
      </c>
      <c r="B1156" s="138" t="s">
        <v>1096</v>
      </c>
      <c r="C1156" s="4" t="s">
        <v>19</v>
      </c>
      <c r="D1156" s="78" t="s">
        <v>11</v>
      </c>
      <c r="E1156" s="53">
        <v>2</v>
      </c>
      <c r="F1156" s="11">
        <f>SUM(DistMeetingQuota[[#This Row],[Sep]:[Feb]])</f>
        <v>1</v>
      </c>
      <c r="G1156" s="11">
        <f>DistMeetingQuota[[#This Row],[Quota]]-DistMeetingQuota[[#This Row],[Actual]]</f>
        <v>1</v>
      </c>
      <c r="H1156" s="49">
        <f>DistMeetingQuota[[#This Row],[Actual]]/DistMeetingQuota[[#This Row],[Quota]]</f>
        <v>0.5</v>
      </c>
      <c r="I1156" s="4"/>
      <c r="J1156" s="2"/>
      <c r="K1156" s="2"/>
      <c r="L1156" s="2">
        <v>1</v>
      </c>
      <c r="M1156" s="2"/>
      <c r="N1156" s="2"/>
      <c r="O1156" s="2"/>
      <c r="P1156" s="139" t="s">
        <v>14</v>
      </c>
      <c r="Q1156" s="2"/>
    </row>
    <row r="1157" spans="1:17" s="109" customFormat="1">
      <c r="A1157" s="4">
        <v>2690272</v>
      </c>
      <c r="B1157" s="138" t="s">
        <v>587</v>
      </c>
      <c r="C1157" s="4" t="s">
        <v>19</v>
      </c>
      <c r="D1157" s="78" t="s">
        <v>5</v>
      </c>
      <c r="E1157" s="53">
        <v>24</v>
      </c>
      <c r="F1157" s="11">
        <f>SUM(DistMeetingQuota[[#This Row],[Sep]:[Feb]])</f>
        <v>12</v>
      </c>
      <c r="G1157" s="11">
        <f>DistMeetingQuota[[#This Row],[Quota]]-DistMeetingQuota[[#This Row],[Actual]]</f>
        <v>12</v>
      </c>
      <c r="H1157" s="49">
        <f>DistMeetingQuota[[#This Row],[Actual]]/DistMeetingQuota[[#This Row],[Quota]]</f>
        <v>0.5</v>
      </c>
      <c r="I1157" s="4"/>
      <c r="J1157" s="2"/>
      <c r="K1157" s="2"/>
      <c r="L1157" s="2">
        <v>4</v>
      </c>
      <c r="M1157" s="2">
        <v>4</v>
      </c>
      <c r="N1157" s="2">
        <v>4</v>
      </c>
      <c r="O1157" s="2"/>
      <c r="P1157" s="139" t="s">
        <v>491</v>
      </c>
      <c r="Q1157" s="2"/>
    </row>
    <row r="1158" spans="1:17" s="109" customFormat="1">
      <c r="A1158" s="4">
        <v>2808720</v>
      </c>
      <c r="B1158" s="138" t="s">
        <v>1102</v>
      </c>
      <c r="C1158" s="4" t="s">
        <v>19</v>
      </c>
      <c r="D1158" s="78" t="s">
        <v>5</v>
      </c>
      <c r="E1158" s="53">
        <v>24</v>
      </c>
      <c r="F1158" s="11">
        <f>SUM(DistMeetingQuota[[#This Row],[Sep]:[Feb]])</f>
        <v>12</v>
      </c>
      <c r="G1158" s="11">
        <f>DistMeetingQuota[[#This Row],[Quota]]-DistMeetingQuota[[#This Row],[Actual]]</f>
        <v>12</v>
      </c>
      <c r="H1158" s="49">
        <f>DistMeetingQuota[[#This Row],[Actual]]/DistMeetingQuota[[#This Row],[Quota]]</f>
        <v>0.5</v>
      </c>
      <c r="I1158" s="4"/>
      <c r="J1158" s="2"/>
      <c r="K1158" s="2"/>
      <c r="L1158" s="2">
        <v>4</v>
      </c>
      <c r="M1158" s="2">
        <v>4</v>
      </c>
      <c r="N1158" s="2">
        <v>4</v>
      </c>
      <c r="O1158" s="2"/>
      <c r="P1158" s="139" t="s">
        <v>491</v>
      </c>
      <c r="Q1158" s="2"/>
    </row>
    <row r="1159" spans="1:17" s="109" customFormat="1" ht="30">
      <c r="A1159" s="416">
        <v>2773236</v>
      </c>
      <c r="B1159" s="417" t="s">
        <v>1104</v>
      </c>
      <c r="C1159" s="416" t="s">
        <v>19</v>
      </c>
      <c r="D1159" s="418" t="s">
        <v>5</v>
      </c>
      <c r="E1159" s="419">
        <v>24</v>
      </c>
      <c r="F1159" s="420">
        <f>SUM(DistMeetingQuota[[#This Row],[Sep]:[Feb]])</f>
        <v>5</v>
      </c>
      <c r="G1159" s="420">
        <f>DistMeetingQuota[[#This Row],[Quota]]-DistMeetingQuota[[#This Row],[Actual]]</f>
        <v>19</v>
      </c>
      <c r="H1159" s="421">
        <f>DistMeetingQuota[[#This Row],[Actual]]/DistMeetingQuota[[#This Row],[Quota]]</f>
        <v>0.20833333333333334</v>
      </c>
      <c r="I1159" s="416"/>
      <c r="J1159" s="422"/>
      <c r="K1159" s="422"/>
      <c r="L1159" s="422">
        <v>2</v>
      </c>
      <c r="M1159" s="422"/>
      <c r="N1159" s="422">
        <v>3</v>
      </c>
      <c r="O1159" s="422"/>
      <c r="P1159" s="423" t="s">
        <v>613</v>
      </c>
      <c r="Q1159" s="422"/>
    </row>
    <row r="1160" spans="1:17" s="109" customFormat="1" ht="30">
      <c r="A1160" s="4">
        <v>2729855</v>
      </c>
      <c r="B1160" s="138" t="s">
        <v>1103</v>
      </c>
      <c r="C1160" s="4" t="s">
        <v>19</v>
      </c>
      <c r="D1160" s="78" t="s">
        <v>5</v>
      </c>
      <c r="E1160" s="53">
        <v>24</v>
      </c>
      <c r="F1160" s="11">
        <f>SUM(DistMeetingQuota[[#This Row],[Sep]:[Feb]])</f>
        <v>12</v>
      </c>
      <c r="G1160" s="11">
        <f>DistMeetingQuota[[#This Row],[Quota]]-DistMeetingQuota[[#This Row],[Actual]]</f>
        <v>12</v>
      </c>
      <c r="H1160" s="49">
        <f>DistMeetingQuota[[#This Row],[Actual]]/DistMeetingQuota[[#This Row],[Quota]]</f>
        <v>0.5</v>
      </c>
      <c r="I1160" s="4"/>
      <c r="J1160" s="2"/>
      <c r="K1160" s="2"/>
      <c r="L1160" s="2">
        <v>4</v>
      </c>
      <c r="M1160" s="2">
        <v>4</v>
      </c>
      <c r="N1160" s="2">
        <v>4</v>
      </c>
      <c r="O1160" s="2"/>
      <c r="P1160" s="139" t="s">
        <v>491</v>
      </c>
      <c r="Q1160" s="2"/>
    </row>
    <row r="1161" spans="1:17" s="109" customFormat="1" ht="30">
      <c r="A1161" s="424">
        <v>2256655</v>
      </c>
      <c r="B1161" s="425" t="s">
        <v>1109</v>
      </c>
      <c r="C1161" s="424" t="s">
        <v>19</v>
      </c>
      <c r="D1161" s="426" t="s">
        <v>11</v>
      </c>
      <c r="E1161" s="427">
        <v>2</v>
      </c>
      <c r="F1161" s="428">
        <f>SUM(DistMeetingQuota[[#This Row],[Sep]:[Feb]])</f>
        <v>1</v>
      </c>
      <c r="G1161" s="428">
        <f>DistMeetingQuota[[#This Row],[Quota]]-DistMeetingQuota[[#This Row],[Actual]]</f>
        <v>1</v>
      </c>
      <c r="H1161" s="429">
        <f>DistMeetingQuota[[#This Row],[Actual]]/DistMeetingQuota[[#This Row],[Quota]]</f>
        <v>0.5</v>
      </c>
      <c r="I1161" s="424"/>
      <c r="J1161" s="430"/>
      <c r="K1161" s="430"/>
      <c r="L1161" s="430">
        <v>1</v>
      </c>
      <c r="M1161" s="430"/>
      <c r="N1161" s="430"/>
      <c r="O1161" s="430"/>
      <c r="P1161" s="431" t="s">
        <v>10</v>
      </c>
      <c r="Q1161" s="430"/>
    </row>
    <row r="1162" spans="1:17" s="109" customFormat="1" ht="30">
      <c r="A1162" s="424">
        <v>2010128</v>
      </c>
      <c r="B1162" s="425" t="s">
        <v>1110</v>
      </c>
      <c r="C1162" s="424" t="s">
        <v>19</v>
      </c>
      <c r="D1162" s="426" t="s">
        <v>11</v>
      </c>
      <c r="E1162" s="427">
        <v>2</v>
      </c>
      <c r="F1162" s="428">
        <f>SUM(DistMeetingQuota[[#This Row],[Sep]:[Feb]])</f>
        <v>2</v>
      </c>
      <c r="G1162" s="428">
        <f>DistMeetingQuota[[#This Row],[Quota]]-DistMeetingQuota[[#This Row],[Actual]]</f>
        <v>0</v>
      </c>
      <c r="H1162" s="429">
        <f>DistMeetingQuota[[#This Row],[Actual]]/DistMeetingQuota[[#This Row],[Quota]]</f>
        <v>1</v>
      </c>
      <c r="I1162" s="424"/>
      <c r="J1162" s="430"/>
      <c r="K1162" s="430"/>
      <c r="L1162" s="430">
        <v>2</v>
      </c>
      <c r="M1162" s="430"/>
      <c r="N1162" s="430"/>
      <c r="O1162" s="430"/>
      <c r="P1162" s="431" t="s">
        <v>10</v>
      </c>
      <c r="Q1162" s="430"/>
    </row>
    <row r="1163" spans="1:17" s="109" customFormat="1">
      <c r="A1163" s="4">
        <v>2350178</v>
      </c>
      <c r="B1163" s="138" t="s">
        <v>1117</v>
      </c>
      <c r="C1163" s="4" t="s">
        <v>19</v>
      </c>
      <c r="D1163" s="78" t="s">
        <v>5</v>
      </c>
      <c r="E1163" s="53">
        <v>24</v>
      </c>
      <c r="F1163" s="11">
        <f>SUM(DistMeetingQuota[[#This Row],[Sep]:[Feb]])</f>
        <v>0</v>
      </c>
      <c r="G1163" s="11">
        <f>DistMeetingQuota[[#This Row],[Quota]]-DistMeetingQuota[[#This Row],[Actual]]</f>
        <v>24</v>
      </c>
      <c r="H1163" s="49">
        <f>DistMeetingQuota[[#This Row],[Actual]]/DistMeetingQuota[[#This Row],[Quota]]</f>
        <v>0</v>
      </c>
      <c r="I1163" s="4"/>
      <c r="J1163" s="2"/>
      <c r="K1163" s="2"/>
      <c r="L1163" s="2"/>
      <c r="M1163" s="2"/>
      <c r="N1163" s="2"/>
      <c r="O1163" s="2"/>
      <c r="P1163" s="139" t="s">
        <v>476</v>
      </c>
      <c r="Q1163" s="2"/>
    </row>
    <row r="1164" spans="1:17" s="109" customFormat="1" ht="30">
      <c r="A1164" s="444">
        <v>2498363</v>
      </c>
      <c r="B1164" s="445" t="s">
        <v>1122</v>
      </c>
      <c r="C1164" s="444" t="s">
        <v>19</v>
      </c>
      <c r="D1164" s="446" t="s">
        <v>5</v>
      </c>
      <c r="E1164" s="447">
        <v>24</v>
      </c>
      <c r="F1164" s="448">
        <f>SUM(DistMeetingQuota[[#This Row],[Sep]:[Feb]])</f>
        <v>4</v>
      </c>
      <c r="G1164" s="448">
        <f>DistMeetingQuota[[#This Row],[Quota]]-DistMeetingQuota[[#This Row],[Actual]]</f>
        <v>20</v>
      </c>
      <c r="H1164" s="449">
        <f>DistMeetingQuota[[#This Row],[Actual]]/DistMeetingQuota[[#This Row],[Quota]]</f>
        <v>0.16666666666666666</v>
      </c>
      <c r="I1164" s="444"/>
      <c r="J1164" s="450"/>
      <c r="K1164" s="450"/>
      <c r="L1164" s="450"/>
      <c r="M1164" s="450">
        <v>4</v>
      </c>
      <c r="N1164" s="450"/>
      <c r="O1164" s="450"/>
      <c r="P1164" s="451" t="s">
        <v>736</v>
      </c>
      <c r="Q1164" s="450"/>
    </row>
    <row r="1165" spans="1:17" s="109" customFormat="1">
      <c r="A1165" s="4">
        <v>2654194</v>
      </c>
      <c r="B1165" s="138" t="s">
        <v>1123</v>
      </c>
      <c r="C1165" s="4" t="s">
        <v>19</v>
      </c>
      <c r="D1165" s="78" t="s">
        <v>5</v>
      </c>
      <c r="E1165" s="53">
        <v>24</v>
      </c>
      <c r="F1165" s="11">
        <f>SUM(DistMeetingQuota[[#This Row],[Sep]:[Feb]])</f>
        <v>4</v>
      </c>
      <c r="G1165" s="11">
        <f>DistMeetingQuota[[#This Row],[Quota]]-DistMeetingQuota[[#This Row],[Actual]]</f>
        <v>20</v>
      </c>
      <c r="H1165" s="49">
        <f>DistMeetingQuota[[#This Row],[Actual]]/DistMeetingQuota[[#This Row],[Quota]]</f>
        <v>0.16666666666666666</v>
      </c>
      <c r="I1165" s="4"/>
      <c r="J1165" s="2"/>
      <c r="K1165" s="2"/>
      <c r="L1165" s="2"/>
      <c r="M1165" s="2">
        <v>4</v>
      </c>
      <c r="N1165" s="2"/>
      <c r="O1165" s="2"/>
      <c r="P1165" s="139" t="s">
        <v>472</v>
      </c>
      <c r="Q1165" s="2"/>
    </row>
    <row r="1166" spans="1:17" s="109" customFormat="1">
      <c r="A1166" s="4">
        <v>2131963</v>
      </c>
      <c r="B1166" s="138" t="s">
        <v>1133</v>
      </c>
      <c r="C1166" s="4" t="s">
        <v>19</v>
      </c>
      <c r="D1166" s="78" t="s">
        <v>11</v>
      </c>
      <c r="E1166" s="53">
        <v>2</v>
      </c>
      <c r="F1166" s="11">
        <f>SUM(DistMeetingQuota[[#This Row],[Sep]:[Feb]])</f>
        <v>1</v>
      </c>
      <c r="G1166" s="11">
        <f>DistMeetingQuota[[#This Row],[Quota]]-DistMeetingQuota[[#This Row],[Actual]]</f>
        <v>1</v>
      </c>
      <c r="H1166" s="49">
        <f>DistMeetingQuota[[#This Row],[Actual]]/DistMeetingQuota[[#This Row],[Quota]]</f>
        <v>0.5</v>
      </c>
      <c r="I1166" s="4"/>
      <c r="J1166" s="2"/>
      <c r="K1166" s="2"/>
      <c r="L1166" s="2"/>
      <c r="M1166" s="2">
        <v>1</v>
      </c>
      <c r="N1166" s="2"/>
      <c r="O1166" s="2"/>
      <c r="P1166" s="139" t="s">
        <v>57</v>
      </c>
      <c r="Q1166" s="2"/>
    </row>
    <row r="1167" spans="1:17" s="109" customFormat="1" ht="30">
      <c r="A1167" s="4">
        <v>2280771</v>
      </c>
      <c r="B1167" s="138" t="s">
        <v>1134</v>
      </c>
      <c r="C1167" s="4" t="s">
        <v>19</v>
      </c>
      <c r="D1167" s="78" t="s">
        <v>11</v>
      </c>
      <c r="E1167" s="53">
        <v>2</v>
      </c>
      <c r="F1167" s="11">
        <f>SUM(DistMeetingQuota[[#This Row],[Sep]:[Feb]])</f>
        <v>1</v>
      </c>
      <c r="G1167" s="11">
        <f>DistMeetingQuota[[#This Row],[Quota]]-DistMeetingQuota[[#This Row],[Actual]]</f>
        <v>1</v>
      </c>
      <c r="H1167" s="49">
        <f>DistMeetingQuota[[#This Row],[Actual]]/DistMeetingQuota[[#This Row],[Quota]]</f>
        <v>0.5</v>
      </c>
      <c r="I1167" s="4"/>
      <c r="J1167" s="2"/>
      <c r="K1167" s="2"/>
      <c r="L1167" s="2"/>
      <c r="M1167" s="2">
        <v>1</v>
      </c>
      <c r="N1167" s="2"/>
      <c r="O1167" s="2"/>
      <c r="P1167" s="139" t="s">
        <v>57</v>
      </c>
      <c r="Q1167" s="2"/>
    </row>
    <row r="1168" spans="1:17" s="109" customFormat="1">
      <c r="A1168" s="78">
        <v>2008788</v>
      </c>
      <c r="B1168" s="199" t="s">
        <v>1135</v>
      </c>
      <c r="C1168" s="4" t="s">
        <v>19</v>
      </c>
      <c r="D1168" s="78" t="s">
        <v>5</v>
      </c>
      <c r="E1168" s="53">
        <v>24</v>
      </c>
      <c r="F1168" s="11">
        <f>SUM(DistMeetingQuota[[#This Row],[Sep]:[Feb]])</f>
        <v>0</v>
      </c>
      <c r="G1168" s="11">
        <f>DistMeetingQuota[[#This Row],[Quota]]-DistMeetingQuota[[#This Row],[Actual]]</f>
        <v>24</v>
      </c>
      <c r="H1168" s="49">
        <f>DistMeetingQuota[[#This Row],[Actual]]/DistMeetingQuota[[#This Row],[Quota]]</f>
        <v>0</v>
      </c>
      <c r="I1168" s="4"/>
      <c r="J1168" s="2"/>
      <c r="K1168" s="2"/>
      <c r="L1168" s="2"/>
      <c r="M1168" s="2"/>
      <c r="N1168" s="2"/>
      <c r="O1168" s="2"/>
      <c r="P1168" s="139" t="s">
        <v>6</v>
      </c>
      <c r="Q1168" s="2"/>
    </row>
    <row r="1169" spans="1:17" s="109" customFormat="1" ht="30">
      <c r="A1169" s="4">
        <v>2455182</v>
      </c>
      <c r="B1169" s="138" t="s">
        <v>1137</v>
      </c>
      <c r="C1169" s="4" t="s">
        <v>19</v>
      </c>
      <c r="D1169" s="78" t="s">
        <v>5</v>
      </c>
      <c r="E1169" s="53">
        <v>24</v>
      </c>
      <c r="F1169" s="11">
        <f>SUM(DistMeetingQuota[[#This Row],[Sep]:[Feb]])</f>
        <v>0</v>
      </c>
      <c r="G1169" s="11">
        <f>DistMeetingQuota[[#This Row],[Quota]]-DistMeetingQuota[[#This Row],[Actual]]</f>
        <v>24</v>
      </c>
      <c r="H1169" s="49">
        <f>DistMeetingQuota[[#This Row],[Actual]]/DistMeetingQuota[[#This Row],[Quota]]</f>
        <v>0</v>
      </c>
      <c r="I1169" s="4"/>
      <c r="J1169" s="2"/>
      <c r="K1169" s="2"/>
      <c r="L1169" s="2"/>
      <c r="M1169" s="2"/>
      <c r="N1169" s="2"/>
      <c r="O1169" s="2"/>
      <c r="P1169" s="139" t="s">
        <v>57</v>
      </c>
      <c r="Q1169" s="2"/>
    </row>
    <row r="1170" spans="1:17" s="109" customFormat="1" ht="30">
      <c r="A1170" s="4">
        <v>2298260</v>
      </c>
      <c r="B1170" s="138" t="s">
        <v>1139</v>
      </c>
      <c r="C1170" s="4" t="s">
        <v>19</v>
      </c>
      <c r="D1170" s="78" t="s">
        <v>11</v>
      </c>
      <c r="E1170" s="53">
        <v>2</v>
      </c>
      <c r="F1170" s="11">
        <f>SUM(DistMeetingQuota[[#This Row],[Sep]:[Feb]])</f>
        <v>1</v>
      </c>
      <c r="G1170" s="11">
        <f>DistMeetingQuota[[#This Row],[Quota]]-DistMeetingQuota[[#This Row],[Actual]]</f>
        <v>1</v>
      </c>
      <c r="H1170" s="49">
        <f>DistMeetingQuota[[#This Row],[Actual]]/DistMeetingQuota[[#This Row],[Quota]]</f>
        <v>0.5</v>
      </c>
      <c r="I1170" s="4"/>
      <c r="J1170" s="2"/>
      <c r="K1170" s="2"/>
      <c r="L1170" s="2"/>
      <c r="M1170" s="2">
        <v>1</v>
      </c>
      <c r="N1170" s="2"/>
      <c r="O1170" s="2"/>
      <c r="P1170" s="139" t="s">
        <v>57</v>
      </c>
      <c r="Q1170" s="2"/>
    </row>
    <row r="1171" spans="1:17" s="109" customFormat="1" ht="30">
      <c r="A1171" s="4">
        <v>2425746</v>
      </c>
      <c r="B1171" s="138" t="s">
        <v>1140</v>
      </c>
      <c r="C1171" s="4" t="s">
        <v>19</v>
      </c>
      <c r="D1171" s="78" t="s">
        <v>11</v>
      </c>
      <c r="E1171" s="53">
        <v>2</v>
      </c>
      <c r="F1171" s="11">
        <f>SUM(DistMeetingQuota[[#This Row],[Sep]:[Feb]])</f>
        <v>1</v>
      </c>
      <c r="G1171" s="11">
        <f>DistMeetingQuota[[#This Row],[Quota]]-DistMeetingQuota[[#This Row],[Actual]]</f>
        <v>1</v>
      </c>
      <c r="H1171" s="49">
        <f>DistMeetingQuota[[#This Row],[Actual]]/DistMeetingQuota[[#This Row],[Quota]]</f>
        <v>0.5</v>
      </c>
      <c r="I1171" s="4"/>
      <c r="J1171" s="2"/>
      <c r="K1171" s="2"/>
      <c r="L1171" s="2"/>
      <c r="M1171" s="2">
        <v>1</v>
      </c>
      <c r="N1171" s="2"/>
      <c r="O1171" s="2"/>
      <c r="P1171" s="139" t="s">
        <v>57</v>
      </c>
      <c r="Q1171" s="2"/>
    </row>
    <row r="1172" spans="1:17" s="154" customFormat="1" ht="30">
      <c r="A1172" s="147">
        <v>2235817</v>
      </c>
      <c r="B1172" s="148" t="s">
        <v>1142</v>
      </c>
      <c r="C1172" s="147" t="s">
        <v>21</v>
      </c>
      <c r="D1172" s="149" t="s">
        <v>11</v>
      </c>
      <c r="E1172" s="150">
        <v>3</v>
      </c>
      <c r="F1172" s="157">
        <f>SUM(DistMeetingQuota[[#This Row],[Sep]:[Feb]])</f>
        <v>2</v>
      </c>
      <c r="G1172" s="157">
        <f>DistMeetingQuota[[#This Row],[Quota]]-DistMeetingQuota[[#This Row],[Actual]]</f>
        <v>1</v>
      </c>
      <c r="H1172" s="158">
        <f>DistMeetingQuota[[#This Row],[Actual]]/DistMeetingQuota[[#This Row],[Quota]]</f>
        <v>0.66666666666666663</v>
      </c>
      <c r="I1172" s="147"/>
      <c r="J1172" s="152"/>
      <c r="K1172" s="152"/>
      <c r="L1172" s="152"/>
      <c r="M1172" s="152"/>
      <c r="N1172" s="152">
        <v>2</v>
      </c>
      <c r="O1172" s="152" t="s">
        <v>1143</v>
      </c>
      <c r="P1172" s="246" t="s">
        <v>14</v>
      </c>
      <c r="Q1172" s="152"/>
    </row>
    <row r="1173" spans="1:17" s="154" customFormat="1" ht="30">
      <c r="A1173" s="4">
        <v>2270432</v>
      </c>
      <c r="B1173" s="138" t="s">
        <v>1145</v>
      </c>
      <c r="C1173" s="4" t="s">
        <v>19</v>
      </c>
      <c r="D1173" s="78" t="s">
        <v>5</v>
      </c>
      <c r="E1173" s="53">
        <v>24</v>
      </c>
      <c r="F1173" s="11">
        <f>SUM(DistMeetingQuota[[#This Row],[Sep]:[Feb]])</f>
        <v>4</v>
      </c>
      <c r="G1173" s="11">
        <f>DistMeetingQuota[[#This Row],[Quota]]-DistMeetingQuota[[#This Row],[Actual]]</f>
        <v>20</v>
      </c>
      <c r="H1173" s="49">
        <f>DistMeetingQuota[[#This Row],[Actual]]/DistMeetingQuota[[#This Row],[Quota]]</f>
        <v>0.16666666666666666</v>
      </c>
      <c r="I1173" s="4"/>
      <c r="J1173" s="2"/>
      <c r="K1173" s="2"/>
      <c r="L1173" s="2"/>
      <c r="M1173" s="2"/>
      <c r="N1173" s="2">
        <v>4</v>
      </c>
      <c r="O1173" s="2"/>
      <c r="P1173" s="139" t="s">
        <v>68</v>
      </c>
      <c r="Q1173" s="2"/>
    </row>
    <row r="1174" spans="1:17" s="154" customFormat="1" ht="30">
      <c r="A1174" s="4">
        <v>2098699</v>
      </c>
      <c r="B1174" s="138" t="s">
        <v>1152</v>
      </c>
      <c r="C1174" s="4" t="s">
        <v>19</v>
      </c>
      <c r="D1174" s="78" t="s">
        <v>11</v>
      </c>
      <c r="E1174" s="53">
        <v>2</v>
      </c>
      <c r="F1174" s="11">
        <f>SUM(DistMeetingQuota[[#This Row],[Sep]:[Feb]])</f>
        <v>1</v>
      </c>
      <c r="G1174" s="11">
        <f>DistMeetingQuota[[#This Row],[Quota]]-DistMeetingQuota[[#This Row],[Actual]]</f>
        <v>1</v>
      </c>
      <c r="H1174" s="49">
        <f>DistMeetingQuota[[#This Row],[Actual]]/DistMeetingQuota[[#This Row],[Quota]]</f>
        <v>0.5</v>
      </c>
      <c r="I1174" s="4"/>
      <c r="J1174" s="2"/>
      <c r="K1174" s="2"/>
      <c r="L1174" s="2"/>
      <c r="M1174" s="2"/>
      <c r="N1174" s="2">
        <v>1</v>
      </c>
      <c r="O1174" s="2"/>
      <c r="P1174" s="139" t="s">
        <v>10</v>
      </c>
      <c r="Q1174" s="2"/>
    </row>
    <row r="1175" spans="1:17" s="154" customFormat="1">
      <c r="A1175" s="4">
        <v>2355809</v>
      </c>
      <c r="B1175" s="138" t="s">
        <v>984</v>
      </c>
      <c r="C1175" s="4" t="s">
        <v>19</v>
      </c>
      <c r="D1175" s="78" t="s">
        <v>5</v>
      </c>
      <c r="E1175" s="53">
        <v>24</v>
      </c>
      <c r="F1175" s="11">
        <f>SUM(DistMeetingQuota[[#This Row],[Sep]:[Feb]])</f>
        <v>1</v>
      </c>
      <c r="G1175" s="11">
        <f>DistMeetingQuota[[#This Row],[Quota]]-DistMeetingQuota[[#This Row],[Actual]]</f>
        <v>23</v>
      </c>
      <c r="H1175" s="49">
        <f>DistMeetingQuota[[#This Row],[Actual]]/DistMeetingQuota[[#This Row],[Quota]]</f>
        <v>4.1666666666666664E-2</v>
      </c>
      <c r="I1175" s="4"/>
      <c r="J1175" s="2"/>
      <c r="K1175" s="2"/>
      <c r="L1175" s="2"/>
      <c r="M1175" s="2"/>
      <c r="N1175" s="2">
        <v>1</v>
      </c>
      <c r="O1175" s="2"/>
      <c r="P1175" s="139" t="s">
        <v>470</v>
      </c>
      <c r="Q1175" s="2"/>
    </row>
    <row r="1176" spans="1:17" s="109" customFormat="1" ht="30">
      <c r="A1176" s="337">
        <v>2743376</v>
      </c>
      <c r="B1176" s="338" t="s">
        <v>982</v>
      </c>
      <c r="C1176" s="337" t="s">
        <v>19</v>
      </c>
      <c r="D1176" s="339" t="s">
        <v>11</v>
      </c>
      <c r="E1176" s="340">
        <v>2</v>
      </c>
      <c r="F1176" s="341">
        <f>SUM(DistMeetingQuota[[#This Row],[Sep]:[Feb]])</f>
        <v>1</v>
      </c>
      <c r="G1176" s="341">
        <f>DistMeetingQuota[[#This Row],[Quota]]-DistMeetingQuota[[#This Row],[Actual]]</f>
        <v>1</v>
      </c>
      <c r="H1176" s="342">
        <f>DistMeetingQuota[[#This Row],[Actual]]/DistMeetingQuota[[#This Row],[Quota]]</f>
        <v>0.5</v>
      </c>
      <c r="I1176" s="337"/>
      <c r="J1176" s="343">
        <v>1</v>
      </c>
      <c r="K1176" s="343"/>
      <c r="L1176" s="343"/>
      <c r="M1176" s="343"/>
      <c r="N1176" s="343"/>
      <c r="O1176" s="343"/>
      <c r="P1176" s="344" t="s">
        <v>14</v>
      </c>
      <c r="Q1176" s="343"/>
    </row>
    <row r="1177" spans="1:17" ht="15.75">
      <c r="A1177" s="362"/>
    </row>
  </sheetData>
  <sheetProtection selectLockedCells="1"/>
  <mergeCells count="1">
    <mergeCell ref="I15:N15"/>
  </mergeCells>
  <conditionalFormatting sqref="G17:G1176">
    <cfRule type="cellIs" dxfId="73" priority="7" operator="lessThan">
      <formula>0</formula>
    </cfRule>
    <cfRule type="cellIs" dxfId="72" priority="8" operator="equal">
      <formula>0</formula>
    </cfRule>
  </conditionalFormatting>
  <dataValidations count="3">
    <dataValidation type="list" allowBlank="1" showInputMessage="1" showErrorMessage="1" sqref="D21 D520:D1176">
      <formula1>"100pax,500pax,1000pax"</formula1>
    </dataValidation>
    <dataValidation type="list" allowBlank="1" showInputMessage="1" showErrorMessage="1" sqref="D17:D20 D22:D519">
      <formula1>"100pax,500pax,1000pax,1500-2000pax"</formula1>
    </dataValidation>
    <dataValidation type="list" allowBlank="1" showInputMessage="1" showErrorMessage="1" sqref="C17:C1176">
      <formula1>$A$1:$A$8</formula1>
    </dataValidation>
  </dataValidations>
  <pageMargins left="0.2" right="0.21" top="0.2" bottom="0.2" header="0.2" footer="0.2"/>
  <pageSetup paperSize="9" scale="28" fitToHeight="10" orientation="portrait" r:id="rId1"/>
  <headerFooter>
    <oddFooter>Page &amp;P</oddFooter>
  </headerFooter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C59"/>
  <sheetViews>
    <sheetView topLeftCell="A34" workbookViewId="0">
      <selection activeCell="D54" sqref="D54"/>
    </sheetView>
  </sheetViews>
  <sheetFormatPr defaultRowHeight="15"/>
  <cols>
    <col min="1" max="1" width="33.42578125" customWidth="1"/>
    <col min="2" max="2" width="9.42578125" customWidth="1"/>
    <col min="3" max="3" width="12.7109375" customWidth="1"/>
  </cols>
  <sheetData>
    <row r="1" spans="1:3" ht="25.5" customHeight="1">
      <c r="A1" s="81" t="s">
        <v>307</v>
      </c>
      <c r="B1" s="81" t="s">
        <v>4</v>
      </c>
      <c r="C1" s="82">
        <v>1750000</v>
      </c>
    </row>
    <row r="2" spans="1:3" ht="28.5" customHeight="1">
      <c r="A2" s="81" t="s">
        <v>355</v>
      </c>
      <c r="B2" s="81" t="s">
        <v>56</v>
      </c>
      <c r="C2" s="82">
        <v>1800000</v>
      </c>
    </row>
    <row r="3" spans="1:3">
      <c r="A3" s="83" t="s">
        <v>331</v>
      </c>
      <c r="B3" s="83" t="s">
        <v>10</v>
      </c>
      <c r="C3" s="84">
        <v>27500000</v>
      </c>
    </row>
    <row r="4" spans="1:3" ht="30">
      <c r="A4" s="81" t="s">
        <v>339</v>
      </c>
      <c r="B4" s="81" t="s">
        <v>58</v>
      </c>
      <c r="C4" s="82">
        <v>950000</v>
      </c>
    </row>
    <row r="5" spans="1:3">
      <c r="A5" s="81" t="s">
        <v>309</v>
      </c>
      <c r="B5" s="81" t="s">
        <v>14</v>
      </c>
      <c r="C5" s="82">
        <v>22000000</v>
      </c>
    </row>
    <row r="6" spans="1:3">
      <c r="A6" s="83" t="s">
        <v>335</v>
      </c>
      <c r="B6" s="83" t="s">
        <v>14</v>
      </c>
      <c r="C6" s="84">
        <v>6000000</v>
      </c>
    </row>
    <row r="7" spans="1:3" ht="30">
      <c r="A7" s="81" t="s">
        <v>360</v>
      </c>
      <c r="B7" s="81" t="s">
        <v>67</v>
      </c>
      <c r="C7" s="82">
        <v>2000000</v>
      </c>
    </row>
    <row r="8" spans="1:3">
      <c r="A8" s="81" t="s">
        <v>382</v>
      </c>
      <c r="B8" s="81" t="s">
        <v>312</v>
      </c>
      <c r="C8" s="82">
        <v>1800000</v>
      </c>
    </row>
    <row r="9" spans="1:3">
      <c r="A9" s="83" t="s">
        <v>374</v>
      </c>
      <c r="B9" s="83" t="s">
        <v>55</v>
      </c>
      <c r="C9" s="84">
        <v>1250000</v>
      </c>
    </row>
    <row r="10" spans="1:3">
      <c r="A10" s="81" t="s">
        <v>299</v>
      </c>
      <c r="B10" s="81" t="s">
        <v>14</v>
      </c>
      <c r="C10" s="82">
        <v>10260000</v>
      </c>
    </row>
    <row r="11" spans="1:3">
      <c r="A11" s="83" t="s">
        <v>379</v>
      </c>
      <c r="B11" s="83" t="s">
        <v>56</v>
      </c>
      <c r="C11" s="84">
        <v>1800000</v>
      </c>
    </row>
    <row r="12" spans="1:3">
      <c r="A12" s="81" t="s">
        <v>94</v>
      </c>
      <c r="B12" s="81" t="s">
        <v>10</v>
      </c>
      <c r="C12" s="82">
        <v>22100000</v>
      </c>
    </row>
    <row r="13" spans="1:3">
      <c r="A13" s="83" t="s">
        <v>334</v>
      </c>
      <c r="B13" s="83" t="s">
        <v>55</v>
      </c>
      <c r="C13" s="84">
        <v>1500000</v>
      </c>
    </row>
    <row r="14" spans="1:3">
      <c r="A14" s="93" t="s">
        <v>94</v>
      </c>
      <c r="B14" s="83" t="s">
        <v>10</v>
      </c>
      <c r="C14" s="84">
        <v>18140000</v>
      </c>
    </row>
    <row r="15" spans="1:3" ht="30">
      <c r="A15" s="83" t="s">
        <v>371</v>
      </c>
      <c r="B15" s="83" t="s">
        <v>59</v>
      </c>
      <c r="C15" s="84">
        <v>1500000</v>
      </c>
    </row>
    <row r="16" spans="1:3">
      <c r="A16" s="83" t="s">
        <v>301</v>
      </c>
      <c r="B16" s="83" t="s">
        <v>56</v>
      </c>
      <c r="C16" s="84">
        <v>1750000</v>
      </c>
    </row>
    <row r="17" spans="1:3" ht="30">
      <c r="A17" s="83" t="s">
        <v>333</v>
      </c>
      <c r="B17" s="83" t="s">
        <v>67</v>
      </c>
      <c r="C17" s="84">
        <v>1650000</v>
      </c>
    </row>
    <row r="18" spans="1:3">
      <c r="A18" s="81" t="s">
        <v>323</v>
      </c>
      <c r="B18" s="81" t="s">
        <v>312</v>
      </c>
      <c r="C18" s="82">
        <v>1800000</v>
      </c>
    </row>
    <row r="19" spans="1:3" ht="30">
      <c r="A19" s="83" t="s">
        <v>298</v>
      </c>
      <c r="B19" s="83" t="s">
        <v>6</v>
      </c>
      <c r="C19" s="84">
        <v>4180000</v>
      </c>
    </row>
    <row r="20" spans="1:3">
      <c r="A20" s="81" t="s">
        <v>310</v>
      </c>
      <c r="B20" s="81" t="s">
        <v>56</v>
      </c>
      <c r="C20" s="82">
        <v>1800000</v>
      </c>
    </row>
    <row r="21" spans="1:3" ht="30">
      <c r="A21" s="83" t="s">
        <v>304</v>
      </c>
      <c r="B21" s="83" t="s">
        <v>58</v>
      </c>
      <c r="C21" s="84">
        <v>1500000</v>
      </c>
    </row>
    <row r="22" spans="1:3">
      <c r="A22" s="81" t="s">
        <v>303</v>
      </c>
      <c r="B22" s="81" t="s">
        <v>57</v>
      </c>
      <c r="C22" s="82">
        <v>1800000</v>
      </c>
    </row>
    <row r="23" spans="1:3">
      <c r="A23" s="83" t="s">
        <v>356</v>
      </c>
      <c r="B23" s="83" t="s">
        <v>14</v>
      </c>
      <c r="C23" s="84">
        <v>8500000</v>
      </c>
    </row>
    <row r="24" spans="1:3">
      <c r="A24" s="83" t="s">
        <v>289</v>
      </c>
      <c r="B24" s="83" t="s">
        <v>14</v>
      </c>
      <c r="C24" s="84">
        <v>5000000</v>
      </c>
    </row>
    <row r="25" spans="1:3" ht="30">
      <c r="A25" s="81" t="s">
        <v>306</v>
      </c>
      <c r="B25" s="81" t="s">
        <v>62</v>
      </c>
      <c r="C25" s="82">
        <v>2000000</v>
      </c>
    </row>
    <row r="26" spans="1:3">
      <c r="A26" s="83" t="s">
        <v>308</v>
      </c>
      <c r="B26" s="83" t="s">
        <v>14</v>
      </c>
      <c r="C26" s="84">
        <v>16500000</v>
      </c>
    </row>
    <row r="27" spans="1:3">
      <c r="A27" s="83" t="s">
        <v>290</v>
      </c>
      <c r="B27" s="83" t="s">
        <v>14</v>
      </c>
      <c r="C27" s="84">
        <v>9900000</v>
      </c>
    </row>
    <row r="28" spans="1:3">
      <c r="A28" s="81" t="s">
        <v>326</v>
      </c>
      <c r="B28" s="81" t="s">
        <v>56</v>
      </c>
      <c r="C28" s="82">
        <v>1250000</v>
      </c>
    </row>
    <row r="29" spans="1:3">
      <c r="A29" s="83" t="s">
        <v>348</v>
      </c>
      <c r="B29" s="83" t="s">
        <v>14</v>
      </c>
      <c r="C29" s="84">
        <v>13513500</v>
      </c>
    </row>
    <row r="30" spans="1:3">
      <c r="A30" s="81" t="s">
        <v>363</v>
      </c>
      <c r="B30" s="81" t="s">
        <v>57</v>
      </c>
      <c r="C30" s="82">
        <v>1500000</v>
      </c>
    </row>
    <row r="31" spans="1:3">
      <c r="A31" s="83" t="s">
        <v>300</v>
      </c>
      <c r="B31" s="83" t="s">
        <v>55</v>
      </c>
      <c r="C31" s="84">
        <v>1100000</v>
      </c>
    </row>
    <row r="32" spans="1:3">
      <c r="A32" s="81" t="s">
        <v>300</v>
      </c>
      <c r="B32" s="81" t="s">
        <v>55</v>
      </c>
      <c r="C32" s="82">
        <v>2400000</v>
      </c>
    </row>
    <row r="33" spans="1:3" ht="30">
      <c r="A33" s="81" t="s">
        <v>324</v>
      </c>
      <c r="B33" s="81" t="s">
        <v>63</v>
      </c>
      <c r="C33" s="82">
        <v>1980000</v>
      </c>
    </row>
    <row r="34" spans="1:3">
      <c r="A34" s="81" t="s">
        <v>294</v>
      </c>
      <c r="B34" s="81" t="s">
        <v>10</v>
      </c>
      <c r="C34" s="82">
        <v>7000000</v>
      </c>
    </row>
    <row r="35" spans="1:3">
      <c r="A35" s="83" t="s">
        <v>377</v>
      </c>
      <c r="B35" s="83" t="s">
        <v>70</v>
      </c>
      <c r="C35" s="84">
        <v>12000000</v>
      </c>
    </row>
    <row r="36" spans="1:3">
      <c r="A36" s="83" t="s">
        <v>295</v>
      </c>
      <c r="B36" s="83" t="s">
        <v>14</v>
      </c>
      <c r="C36" s="84">
        <v>9900000</v>
      </c>
    </row>
    <row r="37" spans="1:3">
      <c r="A37" s="81" t="s">
        <v>347</v>
      </c>
      <c r="B37" s="81" t="s">
        <v>57</v>
      </c>
      <c r="C37" s="82">
        <v>1250000</v>
      </c>
    </row>
    <row r="38" spans="1:3">
      <c r="A38" s="81" t="s">
        <v>365</v>
      </c>
      <c r="B38" s="81" t="s">
        <v>55</v>
      </c>
      <c r="C38" s="82">
        <v>3300000</v>
      </c>
    </row>
    <row r="39" spans="1:3">
      <c r="A39" s="93" t="s">
        <v>365</v>
      </c>
      <c r="B39" s="83" t="s">
        <v>55</v>
      </c>
      <c r="C39" s="84">
        <v>1100000</v>
      </c>
    </row>
    <row r="40" spans="1:3" ht="30">
      <c r="A40" s="81" t="s">
        <v>292</v>
      </c>
      <c r="B40" s="81" t="s">
        <v>62</v>
      </c>
      <c r="C40" s="82">
        <v>4504500</v>
      </c>
    </row>
    <row r="41" spans="1:3">
      <c r="A41" s="83" t="s">
        <v>305</v>
      </c>
      <c r="B41" s="83" t="s">
        <v>14</v>
      </c>
      <c r="C41" s="84">
        <v>10340000</v>
      </c>
    </row>
    <row r="42" spans="1:3">
      <c r="A42" s="81" t="s">
        <v>325</v>
      </c>
      <c r="B42" s="81" t="s">
        <v>65</v>
      </c>
      <c r="C42" s="82">
        <v>2200000</v>
      </c>
    </row>
    <row r="43" spans="1:3">
      <c r="A43" s="81" t="s">
        <v>297</v>
      </c>
      <c r="B43" s="81" t="s">
        <v>57</v>
      </c>
      <c r="C43" s="82">
        <v>2000000</v>
      </c>
    </row>
    <row r="44" spans="1:3">
      <c r="A44" s="83" t="s">
        <v>329</v>
      </c>
      <c r="B44" s="83" t="s">
        <v>56</v>
      </c>
      <c r="C44" s="84">
        <v>4300000</v>
      </c>
    </row>
    <row r="45" spans="1:3">
      <c r="A45" s="83" t="s">
        <v>293</v>
      </c>
      <c r="B45" s="83" t="s">
        <v>14</v>
      </c>
      <c r="C45" s="84">
        <v>5500000</v>
      </c>
    </row>
    <row r="46" spans="1:3">
      <c r="A46" s="81" t="s">
        <v>330</v>
      </c>
      <c r="B46" s="81" t="s">
        <v>4</v>
      </c>
      <c r="C46" s="82">
        <v>12000000</v>
      </c>
    </row>
    <row r="47" spans="1:3">
      <c r="A47" s="81" t="s">
        <v>350</v>
      </c>
      <c r="B47" s="81" t="s">
        <v>10</v>
      </c>
      <c r="C47" s="82">
        <v>11500000</v>
      </c>
    </row>
    <row r="48" spans="1:3" ht="30">
      <c r="A48" s="81" t="s">
        <v>381</v>
      </c>
      <c r="B48" s="81" t="s">
        <v>58</v>
      </c>
      <c r="C48" s="82">
        <v>1000000</v>
      </c>
    </row>
    <row r="49" spans="1:3">
      <c r="A49" s="81" t="s">
        <v>296</v>
      </c>
      <c r="B49" s="81" t="s">
        <v>57</v>
      </c>
      <c r="C49" s="82">
        <v>800000</v>
      </c>
    </row>
    <row r="50" spans="1:3" ht="30">
      <c r="A50" s="83" t="s">
        <v>311</v>
      </c>
      <c r="B50" s="83" t="s">
        <v>6</v>
      </c>
      <c r="C50" s="84">
        <v>9900000</v>
      </c>
    </row>
    <row r="51" spans="1:3">
      <c r="A51" s="83" t="s">
        <v>340</v>
      </c>
      <c r="B51" s="83" t="s">
        <v>14</v>
      </c>
      <c r="C51" s="84">
        <v>3000000</v>
      </c>
    </row>
    <row r="52" spans="1:3">
      <c r="A52" s="81" t="s">
        <v>383</v>
      </c>
      <c r="B52" s="81" t="s">
        <v>14</v>
      </c>
      <c r="C52" s="82">
        <v>4000000</v>
      </c>
    </row>
    <row r="53" spans="1:3" ht="30">
      <c r="A53" s="81" t="s">
        <v>302</v>
      </c>
      <c r="B53" s="81" t="s">
        <v>62</v>
      </c>
      <c r="C53" s="82">
        <v>1250000</v>
      </c>
    </row>
    <row r="54" spans="1:3" ht="30">
      <c r="A54" s="83" t="s">
        <v>327</v>
      </c>
      <c r="B54" s="83" t="s">
        <v>64</v>
      </c>
      <c r="C54" s="84">
        <v>750000</v>
      </c>
    </row>
    <row r="55" spans="1:3">
      <c r="A55" s="83" t="s">
        <v>336</v>
      </c>
      <c r="B55" s="83" t="s">
        <v>14</v>
      </c>
      <c r="C55" s="84">
        <v>38000000</v>
      </c>
    </row>
    <row r="56" spans="1:3" ht="30">
      <c r="A56" s="81" t="s">
        <v>343</v>
      </c>
      <c r="B56" s="81" t="s">
        <v>6</v>
      </c>
      <c r="C56" s="82">
        <v>8800000</v>
      </c>
    </row>
    <row r="57" spans="1:3" ht="30">
      <c r="A57" s="83" t="s">
        <v>364</v>
      </c>
      <c r="B57" s="83" t="s">
        <v>63</v>
      </c>
      <c r="C57" s="84">
        <v>2000000</v>
      </c>
    </row>
    <row r="58" spans="1:3">
      <c r="A58" s="83" t="s">
        <v>328</v>
      </c>
      <c r="B58" s="83" t="s">
        <v>55</v>
      </c>
      <c r="C58" s="84">
        <v>2500000</v>
      </c>
    </row>
    <row r="59" spans="1:3">
      <c r="A59" s="81" t="s">
        <v>357</v>
      </c>
      <c r="B59" s="81" t="s">
        <v>55</v>
      </c>
      <c r="C59" s="82">
        <v>1250000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U40"/>
  <sheetViews>
    <sheetView showGridLines="0" workbookViewId="0">
      <pane xSplit="6" ySplit="3" topLeftCell="O33" activePane="bottomRight" state="frozen"/>
      <selection pane="topRight" activeCell="G1" sqref="G1"/>
      <selection pane="bottomLeft" activeCell="A5" sqref="A5"/>
      <selection pane="bottomRight" activeCell="O35" sqref="O35"/>
    </sheetView>
  </sheetViews>
  <sheetFormatPr defaultRowHeight="15" outlineLevelCol="1"/>
  <cols>
    <col min="1" max="1" width="9.5703125" style="3" customWidth="1"/>
    <col min="2" max="2" width="31.7109375" style="3" customWidth="1"/>
    <col min="3" max="3" width="12.28515625" style="7" customWidth="1"/>
    <col min="4" max="4" width="10.140625" style="3" customWidth="1"/>
    <col min="5" max="5" width="9.42578125" style="3" customWidth="1"/>
    <col min="6" max="6" width="9.28515625" style="3" customWidth="1"/>
    <col min="7" max="7" width="12.85546875" style="3" customWidth="1" outlineLevel="1"/>
    <col min="8" max="8" width="19" style="3" customWidth="1" outlineLevel="1"/>
    <col min="9" max="9" width="12.28515625" style="3" customWidth="1" outlineLevel="1"/>
    <col min="10" max="10" width="15.140625" style="3" customWidth="1" outlineLevel="1"/>
    <col min="11" max="11" width="14.42578125" customWidth="1" outlineLevel="1"/>
    <col min="12" max="12" width="15.85546875" style="52" customWidth="1" outlineLevel="1"/>
    <col min="13" max="13" width="9.140625" style="3"/>
    <col min="14" max="14" width="32.42578125" style="99" customWidth="1"/>
    <col min="15" max="15" width="25.42578125" style="116" customWidth="1"/>
    <col min="16" max="16" width="30.7109375" bestFit="1" customWidth="1"/>
    <col min="17" max="17" width="29.140625" customWidth="1"/>
  </cols>
  <sheetData>
    <row r="1" spans="1:21" s="1" customFormat="1" ht="24" customHeight="1">
      <c r="A1" s="26" t="s">
        <v>762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50"/>
      <c r="M1" s="23"/>
      <c r="N1" s="97"/>
      <c r="O1" s="24"/>
    </row>
    <row r="2" spans="1:21" s="1" customFormat="1" ht="20.25" customHeight="1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50"/>
      <c r="M2" s="23"/>
      <c r="N2" s="97"/>
      <c r="O2" s="24"/>
    </row>
    <row r="3" spans="1:21" s="21" customFormat="1" ht="30">
      <c r="A3" s="14" t="s">
        <v>0</v>
      </c>
      <c r="B3" s="15" t="s">
        <v>43</v>
      </c>
      <c r="C3" s="15" t="s">
        <v>42</v>
      </c>
      <c r="D3" s="15" t="s">
        <v>41</v>
      </c>
      <c r="E3" s="15" t="s">
        <v>52</v>
      </c>
      <c r="F3" s="15" t="s">
        <v>53</v>
      </c>
      <c r="G3" s="15" t="s">
        <v>45</v>
      </c>
      <c r="H3" s="15" t="s">
        <v>44</v>
      </c>
      <c r="I3" s="15" t="s">
        <v>2</v>
      </c>
      <c r="J3" s="15" t="s">
        <v>763</v>
      </c>
      <c r="K3" s="19" t="s">
        <v>48</v>
      </c>
      <c r="L3" s="51" t="s">
        <v>8</v>
      </c>
      <c r="M3" s="15" t="s">
        <v>1</v>
      </c>
      <c r="N3" s="20" t="s">
        <v>764</v>
      </c>
      <c r="O3" s="20" t="s">
        <v>72</v>
      </c>
      <c r="P3" s="188" t="s">
        <v>663</v>
      </c>
      <c r="Q3" s="200" t="s">
        <v>786</v>
      </c>
    </row>
    <row r="4" spans="1:21" s="171" customFormat="1" ht="30">
      <c r="A4" s="132">
        <v>2019321</v>
      </c>
      <c r="B4" s="133" t="s">
        <v>20</v>
      </c>
      <c r="C4" s="132" t="s">
        <v>22</v>
      </c>
      <c r="D4" s="132" t="s">
        <v>487</v>
      </c>
      <c r="E4" s="132">
        <v>14</v>
      </c>
      <c r="F4" s="134" t="s">
        <v>486</v>
      </c>
      <c r="G4" s="132" t="s">
        <v>668</v>
      </c>
      <c r="H4" s="132" t="s">
        <v>881</v>
      </c>
      <c r="I4" s="132" t="s">
        <v>14</v>
      </c>
      <c r="J4" s="191">
        <v>0</v>
      </c>
      <c r="K4" s="185">
        <f>MeetingHistoryData11[[#This Row],[Total cost]]</f>
        <v>0</v>
      </c>
      <c r="L4" s="155" t="s">
        <v>711</v>
      </c>
      <c r="M4" s="156"/>
      <c r="N4" s="186"/>
      <c r="O4" s="87"/>
      <c r="P4" s="189"/>
      <c r="Q4" s="189"/>
    </row>
    <row r="5" spans="1:21" s="171" customFormat="1" ht="30">
      <c r="A5" s="141">
        <v>2008982</v>
      </c>
      <c r="B5" s="142" t="s">
        <v>82</v>
      </c>
      <c r="C5" s="141" t="s">
        <v>22</v>
      </c>
      <c r="D5" s="141" t="s">
        <v>487</v>
      </c>
      <c r="E5" s="141">
        <v>22</v>
      </c>
      <c r="F5" s="143" t="s">
        <v>486</v>
      </c>
      <c r="G5" s="141" t="s">
        <v>668</v>
      </c>
      <c r="H5" s="141" t="s">
        <v>896</v>
      </c>
      <c r="I5" s="141" t="s">
        <v>14</v>
      </c>
      <c r="J5" s="191">
        <v>0</v>
      </c>
      <c r="K5" s="185">
        <f>MeetingHistoryData11[[#This Row],[Total cost]]</f>
        <v>0</v>
      </c>
      <c r="L5" s="155" t="s">
        <v>711</v>
      </c>
      <c r="M5" s="156"/>
      <c r="N5" s="98"/>
      <c r="O5" s="87"/>
      <c r="P5" s="189"/>
      <c r="Q5" s="189"/>
    </row>
    <row r="6" spans="1:21" s="171" customFormat="1" ht="30">
      <c r="A6" s="141">
        <v>2009500</v>
      </c>
      <c r="B6" s="142" t="s">
        <v>353</v>
      </c>
      <c r="C6" s="141" t="s">
        <v>22</v>
      </c>
      <c r="D6" s="141" t="s">
        <v>487</v>
      </c>
      <c r="E6" s="141">
        <v>5</v>
      </c>
      <c r="F6" s="143" t="s">
        <v>891</v>
      </c>
      <c r="G6" s="141" t="s">
        <v>666</v>
      </c>
      <c r="H6" s="141" t="s">
        <v>876</v>
      </c>
      <c r="I6" s="141" t="s">
        <v>10</v>
      </c>
      <c r="J6" s="191">
        <v>10000000</v>
      </c>
      <c r="K6" s="185">
        <f>MeetingHistoryData11[[#This Row],[Total cost]]</f>
        <v>10000000</v>
      </c>
      <c r="L6" s="155" t="s">
        <v>711</v>
      </c>
      <c r="M6" s="156"/>
      <c r="N6" s="186" t="s">
        <v>1016</v>
      </c>
      <c r="O6" s="87"/>
      <c r="P6" s="189"/>
      <c r="Q6" s="398" t="s">
        <v>1061</v>
      </c>
    </row>
    <row r="7" spans="1:21" s="171" customFormat="1" ht="30">
      <c r="A7" s="141">
        <v>2009500</v>
      </c>
      <c r="B7" s="142" t="s">
        <v>353</v>
      </c>
      <c r="C7" s="141" t="s">
        <v>22</v>
      </c>
      <c r="D7" s="141" t="s">
        <v>487</v>
      </c>
      <c r="E7" s="141">
        <v>5</v>
      </c>
      <c r="F7" s="143" t="s">
        <v>891</v>
      </c>
      <c r="G7" s="141" t="s">
        <v>668</v>
      </c>
      <c r="H7" s="141" t="s">
        <v>876</v>
      </c>
      <c r="I7" s="141" t="s">
        <v>10</v>
      </c>
      <c r="J7" s="191">
        <v>10000000</v>
      </c>
      <c r="K7" s="185">
        <f>MeetingHistoryData11[[#This Row],[Total cost]]</f>
        <v>10000000</v>
      </c>
      <c r="L7" s="155" t="s">
        <v>711</v>
      </c>
      <c r="M7" s="156"/>
      <c r="N7" s="186" t="s">
        <v>1016</v>
      </c>
      <c r="O7" s="87"/>
      <c r="P7" s="189"/>
      <c r="Q7" s="189"/>
    </row>
    <row r="8" spans="1:21" s="171" customFormat="1" ht="30">
      <c r="A8" s="141">
        <v>2021296</v>
      </c>
      <c r="B8" s="142" t="s">
        <v>87</v>
      </c>
      <c r="C8" s="141" t="s">
        <v>22</v>
      </c>
      <c r="D8" s="141" t="s">
        <v>487</v>
      </c>
      <c r="E8" s="141">
        <v>5</v>
      </c>
      <c r="F8" s="143" t="s">
        <v>891</v>
      </c>
      <c r="G8" s="141" t="s">
        <v>662</v>
      </c>
      <c r="H8" s="141" t="s">
        <v>876</v>
      </c>
      <c r="I8" s="141" t="s">
        <v>10</v>
      </c>
      <c r="J8" s="191">
        <v>10000000</v>
      </c>
      <c r="K8" s="185">
        <f>MeetingHistoryData11[[#This Row],[Total cost]]</f>
        <v>10000000</v>
      </c>
      <c r="L8" s="86" t="s">
        <v>711</v>
      </c>
      <c r="M8" s="156"/>
      <c r="N8" s="186" t="s">
        <v>1016</v>
      </c>
      <c r="O8" s="87"/>
      <c r="P8" s="189" t="s">
        <v>897</v>
      </c>
      <c r="Q8" s="189"/>
    </row>
    <row r="9" spans="1:21" s="171" customFormat="1" ht="30">
      <c r="A9" s="141">
        <v>2191706</v>
      </c>
      <c r="B9" s="142" t="s">
        <v>507</v>
      </c>
      <c r="C9" s="141" t="s">
        <v>22</v>
      </c>
      <c r="D9" s="141" t="s">
        <v>487</v>
      </c>
      <c r="E9" s="141">
        <v>6</v>
      </c>
      <c r="F9" s="143" t="s">
        <v>891</v>
      </c>
      <c r="G9" s="141" t="s">
        <v>662</v>
      </c>
      <c r="H9" s="141" t="s">
        <v>896</v>
      </c>
      <c r="I9" s="141" t="s">
        <v>14</v>
      </c>
      <c r="J9" s="191">
        <v>10000000</v>
      </c>
      <c r="K9" s="185">
        <f>MeetingHistoryData11[[#This Row],[Total cost]]</f>
        <v>10000000</v>
      </c>
      <c r="L9" s="155" t="s">
        <v>711</v>
      </c>
      <c r="M9" s="156"/>
      <c r="N9" s="186" t="s">
        <v>1018</v>
      </c>
      <c r="O9" s="87"/>
      <c r="P9" s="189"/>
      <c r="Q9" s="398" t="s">
        <v>1061</v>
      </c>
    </row>
    <row r="10" spans="1:21" s="171" customFormat="1" ht="30">
      <c r="A10" s="141">
        <v>2132285</v>
      </c>
      <c r="B10" s="142" t="s">
        <v>198</v>
      </c>
      <c r="C10" s="141" t="s">
        <v>22</v>
      </c>
      <c r="D10" s="141" t="s">
        <v>487</v>
      </c>
      <c r="E10" s="141">
        <v>6</v>
      </c>
      <c r="F10" s="143" t="s">
        <v>891</v>
      </c>
      <c r="G10" s="141" t="s">
        <v>668</v>
      </c>
      <c r="H10" s="141" t="s">
        <v>896</v>
      </c>
      <c r="I10" s="141" t="s">
        <v>14</v>
      </c>
      <c r="J10" s="191">
        <v>9900000</v>
      </c>
      <c r="K10" s="185">
        <f>MeetingHistoryData11[[#This Row],[Total cost]]</f>
        <v>9900000</v>
      </c>
      <c r="L10" s="145" t="s">
        <v>711</v>
      </c>
      <c r="M10" s="144"/>
      <c r="N10" s="190" t="s">
        <v>1017</v>
      </c>
      <c r="O10" s="144"/>
      <c r="P10" s="189"/>
      <c r="Q10" s="398" t="s">
        <v>1061</v>
      </c>
    </row>
    <row r="11" spans="1:21" s="171" customFormat="1" ht="30">
      <c r="A11" s="132">
        <v>2009188</v>
      </c>
      <c r="B11" s="133" t="s">
        <v>23</v>
      </c>
      <c r="C11" s="132" t="s">
        <v>22</v>
      </c>
      <c r="D11" s="132" t="s">
        <v>487</v>
      </c>
      <c r="E11" s="132">
        <v>19</v>
      </c>
      <c r="F11" s="134" t="s">
        <v>891</v>
      </c>
      <c r="G11" s="132" t="s">
        <v>662</v>
      </c>
      <c r="H11" s="132" t="s">
        <v>876</v>
      </c>
      <c r="I11" s="132" t="s">
        <v>10</v>
      </c>
      <c r="J11" s="191">
        <v>9177175</v>
      </c>
      <c r="K11" s="185">
        <f>MeetingHistoryData11[[#This Row],[Total cost]]</f>
        <v>9177175</v>
      </c>
      <c r="L11" s="145" t="s">
        <v>711</v>
      </c>
      <c r="M11" s="144"/>
      <c r="N11" s="190"/>
      <c r="O11" s="144"/>
      <c r="P11" s="189"/>
      <c r="Q11" s="189"/>
    </row>
    <row r="12" spans="1:21" s="171" customFormat="1" ht="30">
      <c r="A12" s="141">
        <v>2014997</v>
      </c>
      <c r="B12" s="142" t="s">
        <v>81</v>
      </c>
      <c r="C12" s="141" t="s">
        <v>488</v>
      </c>
      <c r="D12" s="141" t="s">
        <v>487</v>
      </c>
      <c r="E12" s="141">
        <v>5</v>
      </c>
      <c r="F12" s="143" t="s">
        <v>891</v>
      </c>
      <c r="G12" s="141" t="s">
        <v>668</v>
      </c>
      <c r="H12" s="141" t="s">
        <v>953</v>
      </c>
      <c r="I12" s="141" t="s">
        <v>14</v>
      </c>
      <c r="J12" s="191">
        <v>0</v>
      </c>
      <c r="K12" s="185">
        <f>MeetingHistoryData11[[#This Row],[Total cost]]</f>
        <v>0</v>
      </c>
      <c r="L12" s="145" t="s">
        <v>711</v>
      </c>
      <c r="M12" s="144"/>
      <c r="N12" s="190"/>
      <c r="O12" s="144"/>
      <c r="P12" s="189"/>
      <c r="Q12" s="189"/>
    </row>
    <row r="13" spans="1:21" s="171" customFormat="1" ht="30">
      <c r="A13" s="141">
        <v>2014997</v>
      </c>
      <c r="B13" s="142" t="s">
        <v>81</v>
      </c>
      <c r="C13" s="141" t="s">
        <v>488</v>
      </c>
      <c r="D13" s="141" t="s">
        <v>487</v>
      </c>
      <c r="E13" s="141">
        <v>5</v>
      </c>
      <c r="F13" s="143" t="s">
        <v>891</v>
      </c>
      <c r="G13" s="141" t="s">
        <v>662</v>
      </c>
      <c r="H13" s="141" t="s">
        <v>953</v>
      </c>
      <c r="I13" s="141" t="s">
        <v>14</v>
      </c>
      <c r="J13" s="191">
        <v>0</v>
      </c>
      <c r="K13" s="361">
        <f>MeetingHistoryData11[[#This Row],[Total cost]]</f>
        <v>0</v>
      </c>
      <c r="L13" s="145" t="s">
        <v>711</v>
      </c>
      <c r="M13" s="144"/>
      <c r="N13" s="146"/>
      <c r="O13" s="144"/>
      <c r="P13" s="189"/>
      <c r="Q13" s="201"/>
    </row>
    <row r="14" spans="1:21" s="171" customFormat="1" ht="30">
      <c r="A14" s="132">
        <v>2009888</v>
      </c>
      <c r="B14" s="133" t="s">
        <v>228</v>
      </c>
      <c r="C14" s="132" t="s">
        <v>22</v>
      </c>
      <c r="D14" s="132" t="s">
        <v>487</v>
      </c>
      <c r="E14" s="132">
        <v>12</v>
      </c>
      <c r="F14" s="134" t="s">
        <v>891</v>
      </c>
      <c r="G14" s="132" t="s">
        <v>707</v>
      </c>
      <c r="H14" s="132" t="s">
        <v>986</v>
      </c>
      <c r="I14" s="132" t="s">
        <v>14</v>
      </c>
      <c r="J14" s="191">
        <v>10000000</v>
      </c>
      <c r="K14" s="361">
        <f>MeetingHistoryData11[[#This Row],[Total cost]]</f>
        <v>10000000</v>
      </c>
      <c r="L14" s="145" t="s">
        <v>711</v>
      </c>
      <c r="M14" s="144" t="s">
        <v>942</v>
      </c>
      <c r="N14" s="146"/>
      <c r="O14" s="144"/>
      <c r="P14" s="189"/>
      <c r="Q14" s="286" t="s">
        <v>1019</v>
      </c>
      <c r="R14" s="287"/>
      <c r="S14" s="287"/>
      <c r="T14" s="287"/>
      <c r="U14" s="287"/>
    </row>
    <row r="15" spans="1:21" ht="30">
      <c r="A15" s="132">
        <v>2009888</v>
      </c>
      <c r="B15" s="133" t="s">
        <v>228</v>
      </c>
      <c r="C15" s="132" t="s">
        <v>22</v>
      </c>
      <c r="D15" s="132" t="s">
        <v>487</v>
      </c>
      <c r="E15" s="132">
        <v>12</v>
      </c>
      <c r="F15" s="134" t="s">
        <v>891</v>
      </c>
      <c r="G15" s="132" t="s">
        <v>707</v>
      </c>
      <c r="H15" s="132" t="s">
        <v>986</v>
      </c>
      <c r="I15" s="132" t="s">
        <v>14</v>
      </c>
      <c r="J15" s="144">
        <v>10000000</v>
      </c>
      <c r="K15" s="361">
        <f>MeetingHistoryData11[[#This Row],[Total cost]]</f>
        <v>10000000</v>
      </c>
      <c r="L15" s="155" t="s">
        <v>711</v>
      </c>
      <c r="M15" s="144" t="s">
        <v>942</v>
      </c>
      <c r="N15" s="146"/>
      <c r="O15" s="144"/>
      <c r="P15" s="189"/>
      <c r="Q15" s="189" t="s">
        <v>1019</v>
      </c>
      <c r="R15" s="288"/>
      <c r="S15" s="288"/>
      <c r="T15" s="288"/>
      <c r="U15" s="288"/>
    </row>
    <row r="16" spans="1:21" ht="30">
      <c r="A16" s="132">
        <v>2021296</v>
      </c>
      <c r="B16" s="133" t="s">
        <v>87</v>
      </c>
      <c r="C16" s="132" t="s">
        <v>22</v>
      </c>
      <c r="D16" s="132" t="s">
        <v>487</v>
      </c>
      <c r="E16" s="132">
        <v>12</v>
      </c>
      <c r="F16" s="134" t="s">
        <v>891</v>
      </c>
      <c r="G16" s="132" t="s">
        <v>707</v>
      </c>
      <c r="H16" s="132" t="s">
        <v>986</v>
      </c>
      <c r="I16" s="132" t="s">
        <v>14</v>
      </c>
      <c r="J16" s="144">
        <v>10000000</v>
      </c>
      <c r="K16" s="361">
        <f>MeetingHistoryData11[[#This Row],[Total cost]]</f>
        <v>10000000</v>
      </c>
      <c r="L16" s="86" t="s">
        <v>711</v>
      </c>
      <c r="M16" s="144" t="s">
        <v>942</v>
      </c>
      <c r="N16" s="146"/>
      <c r="O16" s="144"/>
      <c r="P16" s="189"/>
      <c r="Q16" s="189" t="s">
        <v>1019</v>
      </c>
      <c r="R16" s="289"/>
      <c r="S16" s="290"/>
      <c r="T16" s="291"/>
      <c r="U16" s="289"/>
    </row>
    <row r="17" spans="1:17" ht="30">
      <c r="A17" s="132">
        <v>2085896</v>
      </c>
      <c r="B17" s="133" t="s">
        <v>91</v>
      </c>
      <c r="C17" s="132" t="s">
        <v>22</v>
      </c>
      <c r="D17" s="132" t="s">
        <v>487</v>
      </c>
      <c r="E17" s="132">
        <v>12</v>
      </c>
      <c r="F17" s="134" t="s">
        <v>891</v>
      </c>
      <c r="G17" s="132" t="s">
        <v>707</v>
      </c>
      <c r="H17" s="132" t="s">
        <v>986</v>
      </c>
      <c r="I17" s="132" t="s">
        <v>14</v>
      </c>
      <c r="J17" s="144">
        <v>10000000</v>
      </c>
      <c r="K17" s="345">
        <f>MeetingHistoryData11[[#This Row],[Total cost]]</f>
        <v>10000000</v>
      </c>
      <c r="L17" s="155" t="s">
        <v>711</v>
      </c>
      <c r="M17" s="156" t="s">
        <v>942</v>
      </c>
      <c r="N17" s="98"/>
      <c r="O17" s="87"/>
      <c r="P17" s="189"/>
      <c r="Q17" s="189" t="s">
        <v>1019</v>
      </c>
    </row>
    <row r="18" spans="1:17" ht="30">
      <c r="A18" s="132">
        <v>2085896</v>
      </c>
      <c r="B18" s="133" t="s">
        <v>91</v>
      </c>
      <c r="C18" s="132" t="s">
        <v>22</v>
      </c>
      <c r="D18" s="132" t="s">
        <v>487</v>
      </c>
      <c r="E18" s="132">
        <v>12</v>
      </c>
      <c r="F18" s="134" t="s">
        <v>891</v>
      </c>
      <c r="G18" s="132" t="s">
        <v>707</v>
      </c>
      <c r="H18" s="132" t="s">
        <v>986</v>
      </c>
      <c r="I18" s="132" t="s">
        <v>14</v>
      </c>
      <c r="J18" s="144">
        <v>10000000</v>
      </c>
      <c r="K18" s="345">
        <f>MeetingHistoryData11[[#This Row],[Total cost]]</f>
        <v>10000000</v>
      </c>
      <c r="L18" s="145" t="s">
        <v>711</v>
      </c>
      <c r="M18" s="156" t="s">
        <v>942</v>
      </c>
      <c r="N18" s="98"/>
      <c r="O18" s="87"/>
      <c r="P18" s="189"/>
      <c r="Q18" s="189" t="s">
        <v>1019</v>
      </c>
    </row>
    <row r="19" spans="1:17" ht="30">
      <c r="A19" s="132">
        <v>2153359</v>
      </c>
      <c r="B19" s="133" t="s">
        <v>467</v>
      </c>
      <c r="C19" s="132" t="s">
        <v>22</v>
      </c>
      <c r="D19" s="132" t="s">
        <v>487</v>
      </c>
      <c r="E19" s="132">
        <v>12</v>
      </c>
      <c r="F19" s="134" t="s">
        <v>891</v>
      </c>
      <c r="G19" s="132" t="s">
        <v>707</v>
      </c>
      <c r="H19" s="132" t="s">
        <v>986</v>
      </c>
      <c r="I19" s="132" t="s">
        <v>14</v>
      </c>
      <c r="J19" s="144">
        <v>10000000</v>
      </c>
      <c r="K19" s="345">
        <f>MeetingHistoryData11[[#This Row],[Total cost]]</f>
        <v>10000000</v>
      </c>
      <c r="L19" s="145" t="s">
        <v>711</v>
      </c>
      <c r="M19" s="156" t="s">
        <v>942</v>
      </c>
      <c r="N19" s="98"/>
      <c r="O19" s="87"/>
      <c r="P19" s="189"/>
      <c r="Q19" s="189" t="s">
        <v>1019</v>
      </c>
    </row>
    <row r="20" spans="1:17" ht="30">
      <c r="A20" s="132">
        <v>2153359</v>
      </c>
      <c r="B20" s="133" t="s">
        <v>467</v>
      </c>
      <c r="C20" s="132" t="s">
        <v>22</v>
      </c>
      <c r="D20" s="132" t="s">
        <v>487</v>
      </c>
      <c r="E20" s="132">
        <v>13</v>
      </c>
      <c r="F20" s="134" t="s">
        <v>891</v>
      </c>
      <c r="G20" s="132" t="s">
        <v>883</v>
      </c>
      <c r="H20" s="132" t="s">
        <v>986</v>
      </c>
      <c r="I20" s="132" t="s">
        <v>14</v>
      </c>
      <c r="J20" s="144">
        <v>10000000</v>
      </c>
      <c r="K20" s="345">
        <f>MeetingHistoryData11[[#This Row],[Total cost]]</f>
        <v>10000000</v>
      </c>
      <c r="L20" s="145" t="s">
        <v>711</v>
      </c>
      <c r="M20" s="156" t="s">
        <v>942</v>
      </c>
      <c r="N20" s="98"/>
      <c r="O20" s="87"/>
      <c r="P20" s="189"/>
      <c r="Q20" s="189" t="s">
        <v>1019</v>
      </c>
    </row>
    <row r="21" spans="1:17" ht="30">
      <c r="A21" s="132">
        <v>2116750</v>
      </c>
      <c r="B21" s="133" t="s">
        <v>172</v>
      </c>
      <c r="C21" s="132" t="s">
        <v>22</v>
      </c>
      <c r="D21" s="132" t="s">
        <v>487</v>
      </c>
      <c r="E21" s="132">
        <v>13</v>
      </c>
      <c r="F21" s="134" t="s">
        <v>891</v>
      </c>
      <c r="G21" s="132" t="s">
        <v>883</v>
      </c>
      <c r="H21" s="132" t="s">
        <v>986</v>
      </c>
      <c r="I21" s="132" t="s">
        <v>14</v>
      </c>
      <c r="J21" s="144">
        <v>10000000</v>
      </c>
      <c r="K21" s="345">
        <f>MeetingHistoryData11[[#This Row],[Total cost]]</f>
        <v>10000000</v>
      </c>
      <c r="L21" s="145" t="s">
        <v>711</v>
      </c>
      <c r="M21" s="156" t="s">
        <v>942</v>
      </c>
      <c r="N21" s="98"/>
      <c r="O21" s="87"/>
      <c r="P21" s="189"/>
      <c r="Q21" s="189" t="s">
        <v>1019</v>
      </c>
    </row>
    <row r="22" spans="1:17" ht="29.25" customHeight="1">
      <c r="A22" s="132">
        <v>2116750</v>
      </c>
      <c r="B22" s="133" t="s">
        <v>172</v>
      </c>
      <c r="C22" s="132" t="s">
        <v>22</v>
      </c>
      <c r="D22" s="132" t="s">
        <v>487</v>
      </c>
      <c r="E22" s="132">
        <v>13</v>
      </c>
      <c r="F22" s="134" t="s">
        <v>891</v>
      </c>
      <c r="G22" s="132" t="s">
        <v>883</v>
      </c>
      <c r="H22" s="132" t="s">
        <v>986</v>
      </c>
      <c r="I22" s="132" t="s">
        <v>14</v>
      </c>
      <c r="J22" s="144">
        <v>10000000</v>
      </c>
      <c r="K22" s="345">
        <f>MeetingHistoryData11[[#This Row],[Total cost]]</f>
        <v>10000000</v>
      </c>
      <c r="L22" s="145" t="s">
        <v>711</v>
      </c>
      <c r="M22" s="156" t="s">
        <v>942</v>
      </c>
      <c r="N22" s="98"/>
      <c r="O22" s="87"/>
      <c r="P22" s="189"/>
      <c r="Q22" s="189" t="s">
        <v>1019</v>
      </c>
    </row>
    <row r="23" spans="1:17" ht="30">
      <c r="A23" s="132">
        <v>2161463</v>
      </c>
      <c r="B23" s="133" t="s">
        <v>218</v>
      </c>
      <c r="C23" s="132" t="s">
        <v>22</v>
      </c>
      <c r="D23" s="132" t="s">
        <v>487</v>
      </c>
      <c r="E23" s="132">
        <v>13</v>
      </c>
      <c r="F23" s="134" t="s">
        <v>891</v>
      </c>
      <c r="G23" s="132" t="s">
        <v>883</v>
      </c>
      <c r="H23" s="132" t="s">
        <v>986</v>
      </c>
      <c r="I23" s="132" t="s">
        <v>14</v>
      </c>
      <c r="J23" s="144">
        <v>10000000</v>
      </c>
      <c r="K23" s="345">
        <f>MeetingHistoryData11[[#This Row],[Total cost]]</f>
        <v>10000000</v>
      </c>
      <c r="L23" s="145" t="s">
        <v>711</v>
      </c>
      <c r="M23" s="156" t="s">
        <v>942</v>
      </c>
      <c r="N23" s="98"/>
      <c r="O23" s="87"/>
      <c r="P23" s="189"/>
      <c r="Q23" s="189" t="s">
        <v>1019</v>
      </c>
    </row>
    <row r="24" spans="1:17" ht="30">
      <c r="A24" s="132">
        <v>2161463</v>
      </c>
      <c r="B24" s="133" t="s">
        <v>218</v>
      </c>
      <c r="C24" s="132" t="s">
        <v>22</v>
      </c>
      <c r="D24" s="132" t="s">
        <v>487</v>
      </c>
      <c r="E24" s="132">
        <v>13</v>
      </c>
      <c r="F24" s="134" t="s">
        <v>891</v>
      </c>
      <c r="G24" s="132" t="s">
        <v>668</v>
      </c>
      <c r="H24" s="132" t="s">
        <v>986</v>
      </c>
      <c r="I24" s="132" t="s">
        <v>14</v>
      </c>
      <c r="J24" s="144">
        <v>10000000</v>
      </c>
      <c r="K24" s="345">
        <f>MeetingHistoryData11[[#This Row],[Total cost]]</f>
        <v>10000000</v>
      </c>
      <c r="L24" s="145" t="s">
        <v>711</v>
      </c>
      <c r="M24" s="156" t="s">
        <v>942</v>
      </c>
      <c r="N24" s="98"/>
      <c r="O24" s="87"/>
      <c r="P24" s="189"/>
      <c r="Q24" s="189" t="s">
        <v>1019</v>
      </c>
    </row>
    <row r="25" spans="1:17" ht="30">
      <c r="A25" s="132">
        <v>2077313</v>
      </c>
      <c r="B25" s="133" t="s">
        <v>162</v>
      </c>
      <c r="C25" s="132" t="s">
        <v>22</v>
      </c>
      <c r="D25" s="132" t="s">
        <v>487</v>
      </c>
      <c r="E25" s="132">
        <v>13</v>
      </c>
      <c r="F25" s="134" t="s">
        <v>891</v>
      </c>
      <c r="G25" s="132" t="s">
        <v>668</v>
      </c>
      <c r="H25" s="132" t="s">
        <v>986</v>
      </c>
      <c r="I25" s="346" t="s">
        <v>14</v>
      </c>
      <c r="J25" s="144">
        <v>10000000</v>
      </c>
      <c r="K25" s="345">
        <f>MeetingHistoryData11[[#This Row],[Total cost]]</f>
        <v>10000000</v>
      </c>
      <c r="L25" s="145" t="s">
        <v>711</v>
      </c>
      <c r="M25" s="156" t="s">
        <v>942</v>
      </c>
      <c r="N25" s="98"/>
      <c r="O25" s="87"/>
      <c r="P25" s="189"/>
      <c r="Q25" s="189" t="s">
        <v>1019</v>
      </c>
    </row>
    <row r="26" spans="1:17" ht="30">
      <c r="A26" s="132">
        <v>2077313</v>
      </c>
      <c r="B26" s="133" t="s">
        <v>162</v>
      </c>
      <c r="C26" s="132" t="s">
        <v>22</v>
      </c>
      <c r="D26" s="132" t="s">
        <v>487</v>
      </c>
      <c r="E26" s="132">
        <v>13</v>
      </c>
      <c r="F26" s="134" t="s">
        <v>891</v>
      </c>
      <c r="G26" s="132" t="s">
        <v>668</v>
      </c>
      <c r="H26" s="132" t="s">
        <v>986</v>
      </c>
      <c r="I26" s="347" t="s">
        <v>14</v>
      </c>
      <c r="J26" s="348">
        <v>9997550</v>
      </c>
      <c r="K26" s="349">
        <f>MeetingHistoryData11[[#This Row],[Total cost]]</f>
        <v>9997550</v>
      </c>
      <c r="L26" s="145" t="s">
        <v>711</v>
      </c>
      <c r="M26" s="379" t="s">
        <v>942</v>
      </c>
      <c r="N26" s="351"/>
      <c r="O26" s="350"/>
      <c r="P26" s="352"/>
      <c r="Q26" s="352" t="s">
        <v>1019</v>
      </c>
    </row>
    <row r="27" spans="1:17" s="154" customFormat="1" ht="30">
      <c r="A27" s="132">
        <v>2132285</v>
      </c>
      <c r="B27" s="133" t="s">
        <v>198</v>
      </c>
      <c r="C27" s="132" t="s">
        <v>22</v>
      </c>
      <c r="D27" s="132" t="s">
        <v>487</v>
      </c>
      <c r="E27" s="132">
        <v>15</v>
      </c>
      <c r="F27" s="134" t="s">
        <v>1026</v>
      </c>
      <c r="G27" s="132" t="s">
        <v>666</v>
      </c>
      <c r="H27" s="132" t="s">
        <v>1088</v>
      </c>
      <c r="I27" s="132" t="s">
        <v>14</v>
      </c>
      <c r="J27" s="144">
        <v>9865400</v>
      </c>
      <c r="K27" s="475">
        <f>MeetingHistoryData11[[#This Row],[Total cost]]</f>
        <v>9865400</v>
      </c>
      <c r="L27" s="136" t="s">
        <v>711</v>
      </c>
      <c r="M27" s="135" t="s">
        <v>942</v>
      </c>
      <c r="N27" s="137"/>
      <c r="O27" s="135"/>
      <c r="P27" s="300" t="s">
        <v>1090</v>
      </c>
      <c r="Q27" s="300"/>
    </row>
    <row r="28" spans="1:17" s="154" customFormat="1" ht="30">
      <c r="A28" s="132">
        <v>2009526</v>
      </c>
      <c r="B28" s="133" t="s">
        <v>84</v>
      </c>
      <c r="C28" s="132" t="s">
        <v>22</v>
      </c>
      <c r="D28" s="132" t="s">
        <v>487</v>
      </c>
      <c r="E28" s="132">
        <v>15</v>
      </c>
      <c r="F28" s="134" t="s">
        <v>1026</v>
      </c>
      <c r="G28" s="132" t="s">
        <v>668</v>
      </c>
      <c r="H28" s="132" t="s">
        <v>1088</v>
      </c>
      <c r="I28" s="132" t="s">
        <v>14</v>
      </c>
      <c r="J28" s="144">
        <v>9865400</v>
      </c>
      <c r="K28" s="475">
        <f>MeetingHistoryData11[[#This Row],[Total cost]]</f>
        <v>9865400</v>
      </c>
      <c r="L28" s="136" t="s">
        <v>711</v>
      </c>
      <c r="M28" s="135" t="s">
        <v>942</v>
      </c>
      <c r="N28" s="137"/>
      <c r="O28" s="135"/>
      <c r="P28" s="300" t="s">
        <v>1090</v>
      </c>
      <c r="Q28" s="300"/>
    </row>
    <row r="29" spans="1:17" ht="30">
      <c r="A29" s="132">
        <v>2010479</v>
      </c>
      <c r="B29" s="133" t="s">
        <v>83</v>
      </c>
      <c r="C29" s="132" t="s">
        <v>12</v>
      </c>
      <c r="D29" s="132" t="s">
        <v>487</v>
      </c>
      <c r="E29" s="132">
        <v>22</v>
      </c>
      <c r="F29" s="134" t="s">
        <v>1026</v>
      </c>
      <c r="G29" s="132" t="s">
        <v>662</v>
      </c>
      <c r="H29" s="132" t="s">
        <v>1101</v>
      </c>
      <c r="I29" s="132" t="s">
        <v>10</v>
      </c>
      <c r="J29" s="144">
        <v>10000000</v>
      </c>
      <c r="K29" s="475">
        <f>MeetingHistoryData11[[#This Row],[Total cost]]</f>
        <v>10000000</v>
      </c>
      <c r="L29" s="136" t="s">
        <v>711</v>
      </c>
      <c r="M29" s="156" t="s">
        <v>1091</v>
      </c>
      <c r="N29" s="98"/>
      <c r="O29" s="87"/>
      <c r="P29" s="189" t="s">
        <v>897</v>
      </c>
      <c r="Q29" s="189"/>
    </row>
    <row r="30" spans="1:17" ht="30">
      <c r="A30" s="132">
        <v>2010199</v>
      </c>
      <c r="B30" s="133" t="s">
        <v>142</v>
      </c>
      <c r="C30" s="132" t="s">
        <v>22</v>
      </c>
      <c r="D30" s="132" t="s">
        <v>487</v>
      </c>
      <c r="E30" s="132">
        <v>4</v>
      </c>
      <c r="F30" s="134" t="s">
        <v>1098</v>
      </c>
      <c r="G30" s="132" t="s">
        <v>662</v>
      </c>
      <c r="H30" s="132" t="s">
        <v>953</v>
      </c>
      <c r="I30" s="132" t="s">
        <v>14</v>
      </c>
      <c r="J30" s="144">
        <v>9853300</v>
      </c>
      <c r="K30" s="475">
        <f>MeetingHistoryData11[[#This Row],[Total cost]]</f>
        <v>9853300</v>
      </c>
      <c r="L30" s="145" t="s">
        <v>711</v>
      </c>
      <c r="M30" s="156" t="s">
        <v>955</v>
      </c>
      <c r="N30" s="335" t="s">
        <v>1151</v>
      </c>
      <c r="O30" s="87"/>
      <c r="P30" s="189" t="s">
        <v>1114</v>
      </c>
      <c r="Q30" s="189"/>
    </row>
    <row r="31" spans="1:17" ht="30">
      <c r="A31" s="132">
        <v>2010199</v>
      </c>
      <c r="B31" s="133" t="s">
        <v>142</v>
      </c>
      <c r="C31" s="132" t="s">
        <v>22</v>
      </c>
      <c r="D31" s="132" t="s">
        <v>487</v>
      </c>
      <c r="E31" s="132">
        <v>4</v>
      </c>
      <c r="F31" s="134" t="s">
        <v>1098</v>
      </c>
      <c r="G31" s="132" t="s">
        <v>662</v>
      </c>
      <c r="H31" s="132" t="s">
        <v>953</v>
      </c>
      <c r="I31" s="132" t="s">
        <v>14</v>
      </c>
      <c r="J31" s="144">
        <v>9853300</v>
      </c>
      <c r="K31" s="475">
        <f>MeetingHistoryData11[[#This Row],[Total cost]]</f>
        <v>9853300</v>
      </c>
      <c r="L31" s="145" t="s">
        <v>711</v>
      </c>
      <c r="M31" s="156" t="s">
        <v>955</v>
      </c>
      <c r="N31" s="98"/>
      <c r="O31" s="87"/>
      <c r="P31" s="189" t="s">
        <v>1114</v>
      </c>
      <c r="Q31" s="189"/>
    </row>
    <row r="32" spans="1:17" ht="30">
      <c r="A32" s="132">
        <v>2010188</v>
      </c>
      <c r="B32" s="133" t="s">
        <v>32</v>
      </c>
      <c r="C32" s="132" t="s">
        <v>22</v>
      </c>
      <c r="D32" s="132" t="s">
        <v>487</v>
      </c>
      <c r="E32" s="132">
        <v>16</v>
      </c>
      <c r="F32" s="134" t="s">
        <v>624</v>
      </c>
      <c r="G32" s="132" t="s">
        <v>666</v>
      </c>
      <c r="H32" s="132" t="s">
        <v>901</v>
      </c>
      <c r="I32" s="132" t="s">
        <v>6</v>
      </c>
      <c r="J32" s="144">
        <v>10000000</v>
      </c>
      <c r="K32" s="475">
        <f>MeetingHistoryData11[[#This Row],[Total cost]]</f>
        <v>10000000</v>
      </c>
      <c r="L32" s="145" t="s">
        <v>711</v>
      </c>
      <c r="M32" s="156" t="s">
        <v>1091</v>
      </c>
      <c r="N32" s="186" t="s">
        <v>1156</v>
      </c>
      <c r="O32" s="87"/>
      <c r="P32" s="189" t="s">
        <v>1124</v>
      </c>
      <c r="Q32" s="189"/>
    </row>
    <row r="33" spans="1:17" ht="30">
      <c r="A33" s="132">
        <v>2010188</v>
      </c>
      <c r="B33" s="133" t="s">
        <v>32</v>
      </c>
      <c r="C33" s="132" t="s">
        <v>22</v>
      </c>
      <c r="D33" s="132" t="s">
        <v>487</v>
      </c>
      <c r="E33" s="132">
        <v>16</v>
      </c>
      <c r="F33" s="134" t="s">
        <v>624</v>
      </c>
      <c r="G33" s="132" t="s">
        <v>668</v>
      </c>
      <c r="H33" s="132" t="s">
        <v>901</v>
      </c>
      <c r="I33" s="132" t="s">
        <v>6</v>
      </c>
      <c r="J33" s="144">
        <v>10000000</v>
      </c>
      <c r="K33" s="475">
        <f>MeetingHistoryData11[[#This Row],[Total cost]]</f>
        <v>10000000</v>
      </c>
      <c r="L33" s="145" t="s">
        <v>711</v>
      </c>
      <c r="M33" s="156" t="s">
        <v>1091</v>
      </c>
      <c r="N33" s="186" t="s">
        <v>1156</v>
      </c>
      <c r="O33" s="87"/>
      <c r="P33" s="189" t="s">
        <v>1124</v>
      </c>
      <c r="Q33" s="189"/>
    </row>
    <row r="34" spans="1:17" ht="30">
      <c r="A34" s="132">
        <v>2010180</v>
      </c>
      <c r="B34" s="133" t="s">
        <v>380</v>
      </c>
      <c r="C34" s="132" t="s">
        <v>22</v>
      </c>
      <c r="D34" s="132" t="s">
        <v>487</v>
      </c>
      <c r="E34" s="132">
        <v>16</v>
      </c>
      <c r="F34" s="134" t="s">
        <v>624</v>
      </c>
      <c r="G34" s="132" t="s">
        <v>662</v>
      </c>
      <c r="H34" s="132" t="s">
        <v>901</v>
      </c>
      <c r="I34" s="132" t="s">
        <v>6</v>
      </c>
      <c r="J34" s="144">
        <v>10000000</v>
      </c>
      <c r="K34" s="475">
        <f>MeetingHistoryData11[[#This Row],[Total cost]]</f>
        <v>10000000</v>
      </c>
      <c r="L34" s="145" t="s">
        <v>711</v>
      </c>
      <c r="M34" s="156" t="s">
        <v>1091</v>
      </c>
      <c r="N34" s="186" t="s">
        <v>1156</v>
      </c>
      <c r="O34" s="87"/>
      <c r="P34" s="189" t="s">
        <v>1124</v>
      </c>
      <c r="Q34" s="189"/>
    </row>
    <row r="35" spans="1:17" ht="55.5" customHeight="1">
      <c r="A35" s="132">
        <v>2009209</v>
      </c>
      <c r="B35" s="133" t="s">
        <v>1149</v>
      </c>
      <c r="C35" s="132" t="s">
        <v>22</v>
      </c>
      <c r="D35" s="132" t="s">
        <v>487</v>
      </c>
      <c r="E35" s="132">
        <v>15</v>
      </c>
      <c r="F35" s="134" t="s">
        <v>624</v>
      </c>
      <c r="G35" s="132" t="s">
        <v>662</v>
      </c>
      <c r="H35" s="132" t="s">
        <v>1125</v>
      </c>
      <c r="I35" s="346" t="s">
        <v>10</v>
      </c>
      <c r="J35" s="144">
        <v>9300000</v>
      </c>
      <c r="K35" s="475">
        <f>MeetingHistoryData11[[#This Row],[Total cost]]</f>
        <v>9300000</v>
      </c>
      <c r="L35" s="145" t="s">
        <v>711</v>
      </c>
      <c r="M35" s="156" t="s">
        <v>1091</v>
      </c>
      <c r="N35" s="186" t="s">
        <v>1158</v>
      </c>
      <c r="O35" s="87"/>
      <c r="P35" s="189" t="s">
        <v>1112</v>
      </c>
      <c r="Q35" s="189"/>
    </row>
    <row r="36" spans="1:17" ht="54.75" customHeight="1">
      <c r="A36" s="132">
        <v>2009209</v>
      </c>
      <c r="B36" s="133" t="s">
        <v>1149</v>
      </c>
      <c r="C36" s="132" t="s">
        <v>22</v>
      </c>
      <c r="D36" s="132" t="s">
        <v>487</v>
      </c>
      <c r="E36" s="132">
        <v>15</v>
      </c>
      <c r="F36" s="134" t="s">
        <v>624</v>
      </c>
      <c r="G36" s="132" t="s">
        <v>662</v>
      </c>
      <c r="H36" s="132" t="s">
        <v>1125</v>
      </c>
      <c r="I36" s="346" t="s">
        <v>10</v>
      </c>
      <c r="J36" s="144">
        <v>9300000</v>
      </c>
      <c r="K36" s="475">
        <f>MeetingHistoryData11[[#This Row],[Total cost]]</f>
        <v>9300000</v>
      </c>
      <c r="L36" s="145" t="s">
        <v>711</v>
      </c>
      <c r="M36" s="156" t="s">
        <v>1091</v>
      </c>
      <c r="N36" s="186" t="s">
        <v>1158</v>
      </c>
      <c r="O36" s="87"/>
      <c r="P36" s="189" t="s">
        <v>1112</v>
      </c>
      <c r="Q36" s="189"/>
    </row>
    <row r="37" spans="1:17" ht="54" customHeight="1">
      <c r="A37" s="132">
        <v>2009188</v>
      </c>
      <c r="B37" s="133" t="s">
        <v>23</v>
      </c>
      <c r="C37" s="132" t="s">
        <v>22</v>
      </c>
      <c r="D37" s="132" t="s">
        <v>487</v>
      </c>
      <c r="E37" s="132">
        <v>15</v>
      </c>
      <c r="F37" s="134" t="s">
        <v>624</v>
      </c>
      <c r="G37" s="132" t="s">
        <v>662</v>
      </c>
      <c r="H37" s="132" t="s">
        <v>1125</v>
      </c>
      <c r="I37" s="346" t="s">
        <v>10</v>
      </c>
      <c r="J37" s="144">
        <v>9300000</v>
      </c>
      <c r="K37" s="475">
        <f>MeetingHistoryData11[[#This Row],[Total cost]]</f>
        <v>9300000</v>
      </c>
      <c r="L37" s="145" t="s">
        <v>711</v>
      </c>
      <c r="M37" s="156" t="s">
        <v>1091</v>
      </c>
      <c r="N37" s="186" t="s">
        <v>1158</v>
      </c>
      <c r="O37" s="87"/>
      <c r="P37" s="189" t="s">
        <v>1112</v>
      </c>
      <c r="Q37" s="189"/>
    </row>
    <row r="38" spans="1:17">
      <c r="A38" s="132"/>
      <c r="B38" s="133"/>
      <c r="C38" s="132"/>
      <c r="D38" s="132"/>
      <c r="E38" s="132"/>
      <c r="F38" s="134"/>
      <c r="G38" s="132"/>
      <c r="H38" s="132"/>
      <c r="I38" s="346"/>
      <c r="J38" s="144"/>
      <c r="K38" s="345"/>
      <c r="L38" s="145"/>
      <c r="M38" s="156"/>
      <c r="N38" s="98"/>
      <c r="O38" s="87"/>
      <c r="P38" s="189"/>
      <c r="Q38" s="189"/>
    </row>
    <row r="39" spans="1:17">
      <c r="A39" s="132"/>
      <c r="B39" s="133"/>
      <c r="C39" s="132"/>
      <c r="D39" s="132"/>
      <c r="E39" s="132"/>
      <c r="F39" s="134"/>
      <c r="G39" s="132"/>
      <c r="H39" s="132"/>
      <c r="I39" s="346"/>
      <c r="J39" s="144"/>
      <c r="K39" s="345"/>
      <c r="L39" s="145"/>
      <c r="M39" s="156"/>
      <c r="N39" s="98"/>
      <c r="O39" s="87"/>
      <c r="P39" s="189"/>
      <c r="Q39" s="189"/>
    </row>
    <row r="40" spans="1:17">
      <c r="A40" s="132"/>
      <c r="B40" s="133"/>
      <c r="C40" s="132"/>
      <c r="D40" s="132"/>
      <c r="E40" s="132"/>
      <c r="F40" s="134"/>
      <c r="G40" s="132"/>
      <c r="H40" s="132"/>
      <c r="I40" s="346"/>
      <c r="J40" s="144"/>
      <c r="K40" s="345"/>
      <c r="L40" s="145"/>
      <c r="M40" s="156"/>
      <c r="N40" s="98"/>
      <c r="O40" s="87"/>
      <c r="P40" s="189"/>
      <c r="Q40" s="189"/>
    </row>
  </sheetData>
  <sheetProtection selectLockedCells="1"/>
  <dataValidations count="1">
    <dataValidation type="list" allowBlank="1" showInputMessage="1" showErrorMessage="1" sqref="D4:D40">
      <formula1>"100pax,500pax,1000pax,1500-2000pax"</formula1>
    </dataValidation>
  </dataValidations>
  <pageMargins left="0.2" right="0.2" top="0.2" bottom="0.2" header="0.2" footer="0.2"/>
  <pageSetup paperSize="9" scale="42" fitToHeight="8" orientation="landscape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V30"/>
  <sheetViews>
    <sheetView showGridLines="0" workbookViewId="0">
      <pane xSplit="6" ySplit="3" topLeftCell="G26" activePane="bottomRight" state="frozen"/>
      <selection pane="topRight" activeCell="G1" sqref="G1"/>
      <selection pane="bottomLeft" activeCell="A5" sqref="A5"/>
      <selection pane="bottomRight" activeCell="E34" sqref="E34"/>
    </sheetView>
  </sheetViews>
  <sheetFormatPr defaultRowHeight="15" outlineLevelCol="1"/>
  <cols>
    <col min="1" max="1" width="9.5703125" style="3" customWidth="1"/>
    <col min="2" max="2" width="31.7109375" style="3" customWidth="1"/>
    <col min="3" max="3" width="12.28515625" style="7" customWidth="1"/>
    <col min="4" max="4" width="10.140625" style="3" customWidth="1"/>
    <col min="5" max="5" width="9.42578125" style="3" customWidth="1"/>
    <col min="6" max="6" width="9.28515625" style="3" customWidth="1"/>
    <col min="7" max="7" width="12.85546875" style="3" customWidth="1" outlineLevel="1"/>
    <col min="8" max="8" width="19" style="3" customWidth="1" outlineLevel="1"/>
    <col min="9" max="9" width="12.28515625" style="3" customWidth="1" outlineLevel="1"/>
    <col min="10" max="10" width="13" style="3" customWidth="1" outlineLevel="1"/>
    <col min="11" max="11" width="13.140625" style="9" customWidth="1" outlineLevel="1"/>
    <col min="12" max="12" width="14.42578125" customWidth="1" outlineLevel="1"/>
    <col min="13" max="13" width="15.85546875" style="52" customWidth="1" outlineLevel="1"/>
    <col min="14" max="14" width="9.140625" style="3"/>
    <col min="15" max="15" width="29.28515625" style="95" customWidth="1"/>
    <col min="16" max="16" width="29.7109375" style="99" customWidth="1"/>
    <col min="17" max="17" width="25.42578125" style="116" customWidth="1"/>
    <col min="19" max="19" width="12.28515625" customWidth="1"/>
    <col min="20" max="20" width="33.85546875" customWidth="1"/>
  </cols>
  <sheetData>
    <row r="1" spans="1:22" s="1" customFormat="1" ht="24" customHeight="1">
      <c r="A1" s="172" t="s">
        <v>17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4"/>
      <c r="N1" s="173"/>
      <c r="O1" s="175"/>
      <c r="P1" s="176"/>
      <c r="Q1" s="177"/>
    </row>
    <row r="2" spans="1:22" s="1" customFormat="1" ht="20.25" customHeight="1">
      <c r="A2" s="173"/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4"/>
      <c r="N2" s="173"/>
      <c r="O2" s="175"/>
      <c r="P2" s="176"/>
      <c r="Q2" s="177"/>
    </row>
    <row r="3" spans="1:22" s="21" customFormat="1" ht="30">
      <c r="A3" s="178" t="s">
        <v>0</v>
      </c>
      <c r="B3" s="179" t="s">
        <v>43</v>
      </c>
      <c r="C3" s="179" t="s">
        <v>42</v>
      </c>
      <c r="D3" s="179" t="s">
        <v>41</v>
      </c>
      <c r="E3" s="179" t="s">
        <v>52</v>
      </c>
      <c r="F3" s="179" t="s">
        <v>53</v>
      </c>
      <c r="G3" s="179" t="s">
        <v>45</v>
      </c>
      <c r="H3" s="179" t="s">
        <v>44</v>
      </c>
      <c r="I3" s="179" t="s">
        <v>2</v>
      </c>
      <c r="J3" s="180" t="s">
        <v>46</v>
      </c>
      <c r="K3" s="181" t="s">
        <v>47</v>
      </c>
      <c r="L3" s="182" t="s">
        <v>48</v>
      </c>
      <c r="M3" s="183" t="s">
        <v>8</v>
      </c>
      <c r="N3" s="179" t="s">
        <v>1</v>
      </c>
      <c r="O3" s="183" t="s">
        <v>9</v>
      </c>
      <c r="P3" s="184" t="s">
        <v>7</v>
      </c>
      <c r="Q3" s="184" t="s">
        <v>72</v>
      </c>
      <c r="R3" s="118" t="s">
        <v>573</v>
      </c>
      <c r="S3" s="96" t="s">
        <v>596</v>
      </c>
      <c r="T3" s="96" t="s">
        <v>663</v>
      </c>
      <c r="U3" s="96" t="s">
        <v>664</v>
      </c>
    </row>
    <row r="4" spans="1:22" s="229" customFormat="1" ht="30">
      <c r="A4" s="218">
        <v>2436526</v>
      </c>
      <c r="B4" s="219" t="s">
        <v>813</v>
      </c>
      <c r="C4" s="218" t="s">
        <v>19</v>
      </c>
      <c r="D4" s="218" t="s">
        <v>5</v>
      </c>
      <c r="E4" s="218">
        <v>9</v>
      </c>
      <c r="F4" s="220" t="s">
        <v>987</v>
      </c>
      <c r="G4" s="218" t="s">
        <v>668</v>
      </c>
      <c r="H4" s="218" t="s">
        <v>1030</v>
      </c>
      <c r="I4" s="218" t="s">
        <v>6</v>
      </c>
      <c r="J4" s="221">
        <v>2200000</v>
      </c>
      <c r="K4" s="222">
        <f>MeetingHistoryData[[#This Row],[Rental Cost]]-MeetingHistoryData[[#This Row],[Supported By AW]]</f>
        <v>500000</v>
      </c>
      <c r="L4" s="223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2000000</v>
      </c>
      <c r="M4" s="224" t="s">
        <v>391</v>
      </c>
      <c r="N4" s="221" t="s">
        <v>291</v>
      </c>
      <c r="O4" s="225" t="s">
        <v>871</v>
      </c>
      <c r="P4" s="226"/>
      <c r="Q4" s="221" t="s">
        <v>1031</v>
      </c>
      <c r="R4" s="227"/>
      <c r="S4" s="227"/>
      <c r="T4" s="227"/>
      <c r="U4" s="227"/>
      <c r="V4" s="415"/>
    </row>
    <row r="5" spans="1:22" s="229" customFormat="1" ht="30">
      <c r="A5" s="218">
        <v>2436526</v>
      </c>
      <c r="B5" s="219" t="s">
        <v>813</v>
      </c>
      <c r="C5" s="218" t="s">
        <v>19</v>
      </c>
      <c r="D5" s="218" t="s">
        <v>5</v>
      </c>
      <c r="E5" s="218">
        <v>14</v>
      </c>
      <c r="F5" s="220" t="s">
        <v>987</v>
      </c>
      <c r="G5" s="218" t="s">
        <v>668</v>
      </c>
      <c r="H5" s="218" t="s">
        <v>1030</v>
      </c>
      <c r="I5" s="218" t="s">
        <v>6</v>
      </c>
      <c r="J5" s="221">
        <v>2200000</v>
      </c>
      <c r="K5" s="222">
        <f>MeetingHistoryData[[#This Row],[Rental Cost]]-MeetingHistoryData[[#This Row],[Supported By AW]]</f>
        <v>500000</v>
      </c>
      <c r="L5" s="223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2000000</v>
      </c>
      <c r="M5" s="224" t="s">
        <v>391</v>
      </c>
      <c r="N5" s="221" t="s">
        <v>291</v>
      </c>
      <c r="O5" s="225" t="s">
        <v>871</v>
      </c>
      <c r="P5" s="226"/>
      <c r="Q5" s="221" t="s">
        <v>1032</v>
      </c>
      <c r="R5" s="227"/>
      <c r="S5" s="227"/>
      <c r="T5" s="227"/>
      <c r="U5" s="227"/>
      <c r="V5" s="415"/>
    </row>
    <row r="6" spans="1:22" s="229" customFormat="1" ht="30">
      <c r="A6" s="218">
        <v>2436526</v>
      </c>
      <c r="B6" s="219" t="s">
        <v>813</v>
      </c>
      <c r="C6" s="218" t="s">
        <v>19</v>
      </c>
      <c r="D6" s="218" t="s">
        <v>5</v>
      </c>
      <c r="E6" s="218">
        <v>21</v>
      </c>
      <c r="F6" s="220" t="s">
        <v>987</v>
      </c>
      <c r="G6" s="218" t="s">
        <v>668</v>
      </c>
      <c r="H6" s="218" t="s">
        <v>1030</v>
      </c>
      <c r="I6" s="218" t="s">
        <v>6</v>
      </c>
      <c r="J6" s="221">
        <v>2200000</v>
      </c>
      <c r="K6" s="222">
        <f>MeetingHistoryData[[#This Row],[Rental Cost]]-MeetingHistoryData[[#This Row],[Supported By AW]]</f>
        <v>3168000</v>
      </c>
      <c r="L6" s="223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12672000</v>
      </c>
      <c r="M6" s="224" t="s">
        <v>391</v>
      </c>
      <c r="N6" s="221" t="s">
        <v>291</v>
      </c>
      <c r="O6" s="225" t="s">
        <v>871</v>
      </c>
      <c r="P6" s="226"/>
      <c r="Q6" s="221" t="s">
        <v>1033</v>
      </c>
      <c r="R6" s="227"/>
      <c r="S6" s="227"/>
      <c r="T6" s="227"/>
      <c r="U6" s="227"/>
      <c r="V6" s="415"/>
    </row>
    <row r="7" spans="1:22" s="229" customFormat="1" ht="30">
      <c r="A7" s="218">
        <v>2436526</v>
      </c>
      <c r="B7" s="219" t="s">
        <v>813</v>
      </c>
      <c r="C7" s="218" t="s">
        <v>19</v>
      </c>
      <c r="D7" s="218" t="s">
        <v>5</v>
      </c>
      <c r="E7" s="218">
        <v>30</v>
      </c>
      <c r="F7" s="220" t="s">
        <v>987</v>
      </c>
      <c r="G7" s="218" t="s">
        <v>668</v>
      </c>
      <c r="H7" s="218" t="s">
        <v>1030</v>
      </c>
      <c r="I7" s="218" t="s">
        <v>6</v>
      </c>
      <c r="J7" s="221">
        <v>2200000</v>
      </c>
      <c r="K7" s="222">
        <f>MeetingHistoryData[[#This Row],[Rental Cost]]-MeetingHistoryData[[#This Row],[Supported By AW]]</f>
        <v>1620000</v>
      </c>
      <c r="L7" s="223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6480000</v>
      </c>
      <c r="M7" s="224" t="s">
        <v>391</v>
      </c>
      <c r="N7" s="221" t="s">
        <v>291</v>
      </c>
      <c r="O7" s="225" t="s">
        <v>871</v>
      </c>
      <c r="P7" s="226"/>
      <c r="Q7" s="221" t="s">
        <v>1034</v>
      </c>
      <c r="R7" s="227"/>
      <c r="S7" s="227"/>
      <c r="T7" s="227"/>
      <c r="U7" s="227"/>
      <c r="V7" s="415"/>
    </row>
    <row r="8" spans="1:22" s="229" customFormat="1" ht="60">
      <c r="A8" s="218" t="s">
        <v>1068</v>
      </c>
      <c r="B8" s="219" t="s">
        <v>1067</v>
      </c>
      <c r="C8" s="218" t="s">
        <v>19</v>
      </c>
      <c r="D8" s="218" t="s">
        <v>11</v>
      </c>
      <c r="E8" s="218">
        <v>22</v>
      </c>
      <c r="F8" s="220" t="s">
        <v>1026</v>
      </c>
      <c r="G8" s="218" t="s">
        <v>862</v>
      </c>
      <c r="H8" s="218" t="s">
        <v>1064</v>
      </c>
      <c r="I8" s="218" t="s">
        <v>789</v>
      </c>
      <c r="J8" s="221">
        <v>5000000</v>
      </c>
      <c r="K8" s="222">
        <f>MeetingHistoryData[[#This Row],[Rental Cost]]-MeetingHistoryData[[#This Row],[Supported By AW]]</f>
        <v>2500000</v>
      </c>
      <c r="L8" s="223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10000000</v>
      </c>
      <c r="M8" s="224" t="s">
        <v>796</v>
      </c>
      <c r="N8" s="221" t="s">
        <v>291</v>
      </c>
      <c r="O8" s="225" t="s">
        <v>665</v>
      </c>
      <c r="P8" s="226"/>
      <c r="Q8" s="221" t="s">
        <v>1065</v>
      </c>
      <c r="R8" s="227"/>
      <c r="S8" s="228"/>
      <c r="T8" s="227" t="s">
        <v>1069</v>
      </c>
      <c r="U8" s="227"/>
      <c r="V8" s="415"/>
    </row>
    <row r="9" spans="1:22" s="229" customFormat="1" ht="60">
      <c r="A9" s="218" t="s">
        <v>1068</v>
      </c>
      <c r="B9" s="219" t="s">
        <v>1067</v>
      </c>
      <c r="C9" s="218" t="s">
        <v>19</v>
      </c>
      <c r="D9" s="218" t="s">
        <v>11</v>
      </c>
      <c r="E9" s="218">
        <v>22</v>
      </c>
      <c r="F9" s="220" t="s">
        <v>1026</v>
      </c>
      <c r="G9" s="218" t="s">
        <v>668</v>
      </c>
      <c r="H9" s="218" t="s">
        <v>1064</v>
      </c>
      <c r="I9" s="218" t="s">
        <v>789</v>
      </c>
      <c r="J9" s="221">
        <v>5000000</v>
      </c>
      <c r="K9" s="222" t="e">
        <f>MeetingHistoryData[[#This Row],[Rental Cost]]-MeetingHistoryData[[#This Row],[Supported By AW]]</f>
        <v>#VALUE!</v>
      </c>
      <c r="L9" s="223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9" s="224" t="s">
        <v>796</v>
      </c>
      <c r="N9" s="221" t="s">
        <v>291</v>
      </c>
      <c r="O9" s="225" t="s">
        <v>665</v>
      </c>
      <c r="P9" s="226"/>
      <c r="Q9" s="221" t="s">
        <v>1066</v>
      </c>
      <c r="R9" s="227"/>
      <c r="S9" s="228"/>
      <c r="T9" s="227" t="s">
        <v>1069</v>
      </c>
      <c r="U9" s="227"/>
      <c r="V9" s="415"/>
    </row>
    <row r="10" spans="1:22" s="443" customFormat="1" ht="30">
      <c r="A10" s="432">
        <v>2063943</v>
      </c>
      <c r="B10" s="433" t="s">
        <v>155</v>
      </c>
      <c r="C10" s="432" t="s">
        <v>33</v>
      </c>
      <c r="D10" s="432" t="s">
        <v>5</v>
      </c>
      <c r="E10" s="432">
        <v>16</v>
      </c>
      <c r="F10" s="434" t="s">
        <v>1026</v>
      </c>
      <c r="G10" s="432" t="s">
        <v>874</v>
      </c>
      <c r="H10" s="432" t="s">
        <v>994</v>
      </c>
      <c r="I10" s="432" t="s">
        <v>14</v>
      </c>
      <c r="J10" s="435">
        <v>2000000</v>
      </c>
      <c r="K10" s="436" t="e">
        <f>MeetingHistoryData[[#This Row],[Rental Cost]]-MeetingHistoryData[[#This Row],[Supported By AW]]</f>
        <v>#VALUE!</v>
      </c>
      <c r="L10" s="437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10" s="438" t="s">
        <v>391</v>
      </c>
      <c r="N10" s="435" t="s">
        <v>291</v>
      </c>
      <c r="O10" s="439" t="s">
        <v>665</v>
      </c>
      <c r="P10" s="440"/>
      <c r="Q10" s="435" t="s">
        <v>1082</v>
      </c>
      <c r="R10" s="441"/>
      <c r="S10" s="442"/>
      <c r="T10" s="441" t="s">
        <v>970</v>
      </c>
      <c r="U10" s="441"/>
      <c r="V10" s="415"/>
    </row>
    <row r="11" spans="1:22" s="443" customFormat="1" ht="30">
      <c r="A11" s="432">
        <v>2063943</v>
      </c>
      <c r="B11" s="433" t="s">
        <v>155</v>
      </c>
      <c r="C11" s="432" t="s">
        <v>33</v>
      </c>
      <c r="D11" s="432" t="s">
        <v>5</v>
      </c>
      <c r="E11" s="432">
        <v>16</v>
      </c>
      <c r="F11" s="434" t="s">
        <v>1026</v>
      </c>
      <c r="G11" s="432" t="s">
        <v>865</v>
      </c>
      <c r="H11" s="432" t="s">
        <v>994</v>
      </c>
      <c r="I11" s="432" t="s">
        <v>14</v>
      </c>
      <c r="J11" s="435">
        <v>2000000</v>
      </c>
      <c r="K11" s="436" t="e">
        <f>MeetingHistoryData[[#This Row],[Rental Cost]]-MeetingHistoryData[[#This Row],[Supported By AW]]</f>
        <v>#VALUE!</v>
      </c>
      <c r="L11" s="437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11" s="438" t="s">
        <v>391</v>
      </c>
      <c r="N11" s="435" t="s">
        <v>291</v>
      </c>
      <c r="O11" s="439" t="s">
        <v>665</v>
      </c>
      <c r="P11" s="440"/>
      <c r="Q11" s="435" t="s">
        <v>1083</v>
      </c>
      <c r="R11" s="441"/>
      <c r="S11" s="442"/>
      <c r="T11" s="441" t="s">
        <v>970</v>
      </c>
      <c r="U11" s="441"/>
      <c r="V11" s="415"/>
    </row>
    <row r="12" spans="1:22" s="443" customFormat="1" ht="30">
      <c r="A12" s="432">
        <v>2063943</v>
      </c>
      <c r="B12" s="433" t="s">
        <v>155</v>
      </c>
      <c r="C12" s="432" t="s">
        <v>33</v>
      </c>
      <c r="D12" s="432" t="s">
        <v>5</v>
      </c>
      <c r="E12" s="432">
        <v>17</v>
      </c>
      <c r="F12" s="434" t="s">
        <v>1026</v>
      </c>
      <c r="G12" s="432" t="s">
        <v>874</v>
      </c>
      <c r="H12" s="432" t="s">
        <v>994</v>
      </c>
      <c r="I12" s="432" t="s">
        <v>14</v>
      </c>
      <c r="J12" s="435">
        <v>2000000</v>
      </c>
      <c r="K12" s="436" t="e">
        <f>MeetingHistoryData[[#This Row],[Rental Cost]]-MeetingHistoryData[[#This Row],[Supported By AW]]</f>
        <v>#VALUE!</v>
      </c>
      <c r="L12" s="437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12" s="438" t="s">
        <v>391</v>
      </c>
      <c r="N12" s="435" t="s">
        <v>291</v>
      </c>
      <c r="O12" s="439" t="s">
        <v>665</v>
      </c>
      <c r="P12" s="440"/>
      <c r="Q12" s="435" t="s">
        <v>1084</v>
      </c>
      <c r="R12" s="441"/>
      <c r="S12" s="442"/>
      <c r="T12" s="441" t="s">
        <v>970</v>
      </c>
      <c r="U12" s="441"/>
      <c r="V12" s="415"/>
    </row>
    <row r="13" spans="1:22" s="443" customFormat="1" ht="30">
      <c r="A13" s="432">
        <v>2063943</v>
      </c>
      <c r="B13" s="433" t="s">
        <v>155</v>
      </c>
      <c r="C13" s="432" t="s">
        <v>33</v>
      </c>
      <c r="D13" s="432" t="s">
        <v>5</v>
      </c>
      <c r="E13" s="432">
        <v>17</v>
      </c>
      <c r="F13" s="434" t="s">
        <v>1026</v>
      </c>
      <c r="G13" s="432" t="s">
        <v>865</v>
      </c>
      <c r="H13" s="432" t="s">
        <v>994</v>
      </c>
      <c r="I13" s="432" t="s">
        <v>14</v>
      </c>
      <c r="J13" s="435">
        <v>2000000</v>
      </c>
      <c r="K13" s="436" t="e">
        <f>MeetingHistoryData[[#This Row],[Rental Cost]]-MeetingHistoryData[[#This Row],[Supported By AW]]</f>
        <v>#VALUE!</v>
      </c>
      <c r="L13" s="437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13" s="438" t="s">
        <v>391</v>
      </c>
      <c r="N13" s="435" t="s">
        <v>291</v>
      </c>
      <c r="O13" s="439" t="s">
        <v>665</v>
      </c>
      <c r="P13" s="440"/>
      <c r="Q13" s="435" t="s">
        <v>1085</v>
      </c>
      <c r="R13" s="441"/>
      <c r="S13" s="442"/>
      <c r="T13" s="441" t="s">
        <v>970</v>
      </c>
      <c r="U13" s="441"/>
      <c r="V13" s="415"/>
    </row>
    <row r="14" spans="1:22" s="474" customFormat="1" ht="30">
      <c r="A14" s="460">
        <v>2509412</v>
      </c>
      <c r="B14" s="461" t="s">
        <v>995</v>
      </c>
      <c r="C14" s="460" t="s">
        <v>19</v>
      </c>
      <c r="D14" s="460" t="s">
        <v>5</v>
      </c>
      <c r="E14" s="460">
        <v>11</v>
      </c>
      <c r="F14" s="462" t="s">
        <v>1098</v>
      </c>
      <c r="G14" s="460" t="s">
        <v>662</v>
      </c>
      <c r="H14" s="460" t="s">
        <v>890</v>
      </c>
      <c r="I14" s="472" t="s">
        <v>789</v>
      </c>
      <c r="J14" s="463">
        <v>3000000</v>
      </c>
      <c r="K14" s="464" t="e">
        <f>MeetingHistoryData[[#This Row],[Rental Cost]]-MeetingHistoryData[[#This Row],[Supported By AW]]</f>
        <v>#VALUE!</v>
      </c>
      <c r="L14" s="465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14" s="466" t="s">
        <v>391</v>
      </c>
      <c r="N14" s="463" t="s">
        <v>291</v>
      </c>
      <c r="O14" s="467" t="s">
        <v>665</v>
      </c>
      <c r="P14" s="468"/>
      <c r="Q14" s="463" t="s">
        <v>1128</v>
      </c>
      <c r="R14" s="469"/>
      <c r="S14" s="470"/>
      <c r="T14" s="469"/>
      <c r="U14" s="469"/>
      <c r="V14" s="473"/>
    </row>
    <row r="15" spans="1:22" s="229" customFormat="1" ht="30">
      <c r="A15" s="218">
        <v>2034086</v>
      </c>
      <c r="B15" s="219" t="s">
        <v>1053</v>
      </c>
      <c r="C15" s="218" t="s">
        <v>19</v>
      </c>
      <c r="D15" s="218" t="s">
        <v>5</v>
      </c>
      <c r="E15" s="218">
        <v>5</v>
      </c>
      <c r="F15" s="220" t="s">
        <v>1098</v>
      </c>
      <c r="G15" s="218" t="s">
        <v>1099</v>
      </c>
      <c r="H15" s="218" t="s">
        <v>1052</v>
      </c>
      <c r="I15" s="218" t="s">
        <v>10</v>
      </c>
      <c r="J15" s="221">
        <v>3000000</v>
      </c>
      <c r="K15" s="222" t="e">
        <f>MeetingHistoryData[[#This Row],[Rental Cost]]-MeetingHistoryData[[#This Row],[Supported By AW]]</f>
        <v>#VALUE!</v>
      </c>
      <c r="L15" s="223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15" s="224" t="s">
        <v>391</v>
      </c>
      <c r="N15" s="221" t="s">
        <v>291</v>
      </c>
      <c r="O15" s="225" t="s">
        <v>665</v>
      </c>
      <c r="P15" s="226"/>
      <c r="Q15" s="221" t="s">
        <v>1100</v>
      </c>
      <c r="R15" s="227"/>
      <c r="S15" s="228"/>
      <c r="T15" s="227"/>
      <c r="U15" s="227"/>
      <c r="V15" s="415"/>
    </row>
    <row r="16" spans="1:22" s="229" customFormat="1" ht="30">
      <c r="A16" s="218">
        <v>2773236</v>
      </c>
      <c r="B16" s="219" t="s">
        <v>1104</v>
      </c>
      <c r="C16" s="218" t="s">
        <v>19</v>
      </c>
      <c r="D16" s="218" t="s">
        <v>5</v>
      </c>
      <c r="E16" s="218">
        <v>4</v>
      </c>
      <c r="F16" s="220" t="s">
        <v>1098</v>
      </c>
      <c r="G16" s="218" t="s">
        <v>666</v>
      </c>
      <c r="H16" s="218" t="s">
        <v>1105</v>
      </c>
      <c r="I16" s="218" t="s">
        <v>613</v>
      </c>
      <c r="J16" s="221">
        <v>2500000</v>
      </c>
      <c r="K16" s="222" t="e">
        <f>MeetingHistoryData[[#This Row],[Rental Cost]]-MeetingHistoryData[[#This Row],[Supported By AW]]</f>
        <v>#VALUE!</v>
      </c>
      <c r="L16" s="223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16" s="224" t="s">
        <v>391</v>
      </c>
      <c r="N16" s="221" t="s">
        <v>291</v>
      </c>
      <c r="O16" s="225" t="s">
        <v>665</v>
      </c>
      <c r="P16" s="226"/>
      <c r="Q16" s="221" t="s">
        <v>1107</v>
      </c>
      <c r="R16" s="227"/>
      <c r="S16" s="228"/>
      <c r="T16" s="227"/>
      <c r="U16" s="227"/>
      <c r="V16" s="415"/>
    </row>
    <row r="17" spans="1:22" s="229" customFormat="1" ht="30">
      <c r="A17" s="218">
        <v>2773236</v>
      </c>
      <c r="B17" s="219" t="s">
        <v>1104</v>
      </c>
      <c r="C17" s="218" t="s">
        <v>19</v>
      </c>
      <c r="D17" s="218" t="s">
        <v>5</v>
      </c>
      <c r="E17" s="218">
        <v>11</v>
      </c>
      <c r="F17" s="220" t="s">
        <v>1098</v>
      </c>
      <c r="G17" s="218" t="s">
        <v>666</v>
      </c>
      <c r="H17" s="218" t="s">
        <v>1105</v>
      </c>
      <c r="I17" s="218" t="s">
        <v>613</v>
      </c>
      <c r="J17" s="221">
        <v>2500000</v>
      </c>
      <c r="K17" s="222" t="e">
        <f>MeetingHistoryData[[#This Row],[Rental Cost]]-MeetingHistoryData[[#This Row],[Supported By AW]]</f>
        <v>#VALUE!</v>
      </c>
      <c r="L17" s="223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17" s="224" t="s">
        <v>391</v>
      </c>
      <c r="N17" s="221" t="s">
        <v>291</v>
      </c>
      <c r="O17" s="225" t="s">
        <v>665</v>
      </c>
      <c r="P17" s="226"/>
      <c r="Q17" s="221" t="s">
        <v>1108</v>
      </c>
      <c r="R17" s="227"/>
      <c r="S17" s="228"/>
      <c r="T17" s="227"/>
      <c r="U17" s="227"/>
      <c r="V17" s="415"/>
    </row>
    <row r="18" spans="1:22" s="229" customFormat="1" ht="30">
      <c r="A18" s="460">
        <v>2098143</v>
      </c>
      <c r="B18" s="461" t="s">
        <v>338</v>
      </c>
      <c r="C18" s="460" t="s">
        <v>19</v>
      </c>
      <c r="D18" s="460" t="s">
        <v>5</v>
      </c>
      <c r="E18" s="460">
        <v>12</v>
      </c>
      <c r="F18" s="462" t="s">
        <v>1098</v>
      </c>
      <c r="G18" s="460" t="s">
        <v>662</v>
      </c>
      <c r="H18" s="460" t="s">
        <v>921</v>
      </c>
      <c r="I18" s="460" t="s">
        <v>69</v>
      </c>
      <c r="J18" s="463">
        <v>1500000</v>
      </c>
      <c r="K18" s="464" t="e">
        <f>MeetingHistoryData[[#This Row],[Rental Cost]]-MeetingHistoryData[[#This Row],[Supported By AW]]</f>
        <v>#VALUE!</v>
      </c>
      <c r="L18" s="465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18" s="466" t="s">
        <v>391</v>
      </c>
      <c r="N18" s="463" t="s">
        <v>291</v>
      </c>
      <c r="O18" s="467" t="s">
        <v>665</v>
      </c>
      <c r="P18" s="468"/>
      <c r="Q18" s="463" t="s">
        <v>1116</v>
      </c>
      <c r="R18" s="469"/>
      <c r="S18" s="470"/>
      <c r="T18" s="471"/>
      <c r="U18" s="469"/>
      <c r="V18" s="415"/>
    </row>
    <row r="19" spans="1:22" s="229" customFormat="1" ht="30">
      <c r="A19" s="460">
        <v>2350178</v>
      </c>
      <c r="B19" s="461" t="s">
        <v>1117</v>
      </c>
      <c r="C19" s="460" t="s">
        <v>19</v>
      </c>
      <c r="D19" s="460" t="s">
        <v>5</v>
      </c>
      <c r="E19" s="460">
        <v>12</v>
      </c>
      <c r="F19" s="462" t="s">
        <v>1098</v>
      </c>
      <c r="G19" s="460" t="s">
        <v>862</v>
      </c>
      <c r="H19" s="460" t="s">
        <v>1118</v>
      </c>
      <c r="I19" s="460" t="s">
        <v>476</v>
      </c>
      <c r="J19" s="463">
        <v>2000000</v>
      </c>
      <c r="K19" s="464" t="e">
        <f>MeetingHistoryData[[#This Row],[Rental Cost]]-MeetingHistoryData[[#This Row],[Supported By AW]]</f>
        <v>#VALUE!</v>
      </c>
      <c r="L19" s="465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19" s="466" t="s">
        <v>391</v>
      </c>
      <c r="N19" s="463" t="s">
        <v>291</v>
      </c>
      <c r="O19" s="467" t="s">
        <v>665</v>
      </c>
      <c r="P19" s="468"/>
      <c r="Q19" s="463" t="s">
        <v>1119</v>
      </c>
      <c r="R19" s="469"/>
      <c r="S19" s="470"/>
      <c r="T19" s="471"/>
      <c r="U19" s="469"/>
      <c r="V19" s="415"/>
    </row>
    <row r="20" spans="1:22" s="229" customFormat="1" ht="30">
      <c r="A20" s="460">
        <v>2350178</v>
      </c>
      <c r="B20" s="461" t="s">
        <v>1117</v>
      </c>
      <c r="C20" s="460" t="s">
        <v>19</v>
      </c>
      <c r="D20" s="460" t="s">
        <v>5</v>
      </c>
      <c r="E20" s="460">
        <v>19</v>
      </c>
      <c r="F20" s="462" t="s">
        <v>1098</v>
      </c>
      <c r="G20" s="460" t="s">
        <v>862</v>
      </c>
      <c r="H20" s="460" t="s">
        <v>1118</v>
      </c>
      <c r="I20" s="460" t="s">
        <v>476</v>
      </c>
      <c r="J20" s="463">
        <v>2000000</v>
      </c>
      <c r="K20" s="464" t="e">
        <f>MeetingHistoryData[[#This Row],[Rental Cost]]-MeetingHistoryData[[#This Row],[Supported By AW]]</f>
        <v>#VALUE!</v>
      </c>
      <c r="L20" s="465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20" s="466" t="s">
        <v>391</v>
      </c>
      <c r="N20" s="463" t="s">
        <v>291</v>
      </c>
      <c r="O20" s="467" t="s">
        <v>665</v>
      </c>
      <c r="P20" s="468"/>
      <c r="Q20" s="463" t="s">
        <v>1120</v>
      </c>
      <c r="R20" s="469"/>
      <c r="S20" s="470"/>
      <c r="T20" s="471"/>
      <c r="U20" s="469"/>
      <c r="V20" s="415"/>
    </row>
    <row r="21" spans="1:22" s="229" customFormat="1" ht="30">
      <c r="A21" s="460">
        <v>2350178</v>
      </c>
      <c r="B21" s="461" t="s">
        <v>1117</v>
      </c>
      <c r="C21" s="460" t="s">
        <v>19</v>
      </c>
      <c r="D21" s="460" t="s">
        <v>5</v>
      </c>
      <c r="E21" s="460">
        <v>26</v>
      </c>
      <c r="F21" s="462" t="s">
        <v>1098</v>
      </c>
      <c r="G21" s="460" t="s">
        <v>862</v>
      </c>
      <c r="H21" s="460" t="s">
        <v>1118</v>
      </c>
      <c r="I21" s="460" t="s">
        <v>476</v>
      </c>
      <c r="J21" s="463">
        <v>2000000</v>
      </c>
      <c r="K21" s="464" t="e">
        <f>MeetingHistoryData[[#This Row],[Rental Cost]]-MeetingHistoryData[[#This Row],[Supported By AW]]</f>
        <v>#VALUE!</v>
      </c>
      <c r="L21" s="465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21" s="466" t="s">
        <v>391</v>
      </c>
      <c r="N21" s="463" t="s">
        <v>291</v>
      </c>
      <c r="O21" s="467" t="s">
        <v>665</v>
      </c>
      <c r="P21" s="468"/>
      <c r="Q21" s="463" t="s">
        <v>1121</v>
      </c>
      <c r="R21" s="469"/>
      <c r="S21" s="470"/>
      <c r="T21" s="471"/>
      <c r="U21" s="469"/>
      <c r="V21" s="415"/>
    </row>
    <row r="22" spans="1:22" s="229" customFormat="1" ht="30">
      <c r="A22" s="460">
        <v>2009888</v>
      </c>
      <c r="B22" s="461" t="s">
        <v>228</v>
      </c>
      <c r="C22" s="460" t="s">
        <v>22</v>
      </c>
      <c r="D22" s="460" t="s">
        <v>13</v>
      </c>
      <c r="E22" s="460">
        <v>18</v>
      </c>
      <c r="F22" s="462" t="s">
        <v>1098</v>
      </c>
      <c r="G22" s="460" t="s">
        <v>707</v>
      </c>
      <c r="H22" s="460" t="s">
        <v>290</v>
      </c>
      <c r="I22" s="460" t="s">
        <v>14</v>
      </c>
      <c r="J22" s="463">
        <v>18200000</v>
      </c>
      <c r="K22" s="464" t="e">
        <f>MeetingHistoryData[[#This Row],[Rental Cost]]-MeetingHistoryData[[#This Row],[Supported By AW]]</f>
        <v>#VALUE!</v>
      </c>
      <c r="L22" s="465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22" s="466" t="s">
        <v>391</v>
      </c>
      <c r="N22" s="463" t="s">
        <v>291</v>
      </c>
      <c r="O22" s="467" t="s">
        <v>665</v>
      </c>
      <c r="P22" s="468"/>
      <c r="Q22" s="463" t="s">
        <v>1130</v>
      </c>
      <c r="R22" s="469"/>
      <c r="S22" s="470"/>
      <c r="T22" s="471" t="s">
        <v>863</v>
      </c>
      <c r="U22" s="469"/>
      <c r="V22" s="415"/>
    </row>
    <row r="23" spans="1:22" s="229" customFormat="1" ht="30">
      <c r="A23" s="460">
        <v>2049346</v>
      </c>
      <c r="B23" s="461" t="s">
        <v>1003</v>
      </c>
      <c r="C23" s="460" t="s">
        <v>19</v>
      </c>
      <c r="D23" s="460" t="s">
        <v>5</v>
      </c>
      <c r="E23" s="460">
        <v>19</v>
      </c>
      <c r="F23" s="462" t="s">
        <v>1098</v>
      </c>
      <c r="G23" s="460" t="s">
        <v>899</v>
      </c>
      <c r="H23" s="460" t="s">
        <v>1113</v>
      </c>
      <c r="I23" s="460" t="s">
        <v>63</v>
      </c>
      <c r="J23" s="463">
        <v>2000000</v>
      </c>
      <c r="K23" s="464" t="e">
        <f>MeetingHistoryData[[#This Row],[Rental Cost]]-MeetingHistoryData[[#This Row],[Supported By AW]]</f>
        <v>#VALUE!</v>
      </c>
      <c r="L23" s="465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23" s="466" t="s">
        <v>796</v>
      </c>
      <c r="N23" s="463" t="s">
        <v>291</v>
      </c>
      <c r="O23" s="467" t="s">
        <v>665</v>
      </c>
      <c r="P23" s="468"/>
      <c r="Q23" s="463" t="s">
        <v>1131</v>
      </c>
      <c r="R23" s="469"/>
      <c r="S23" s="470"/>
      <c r="T23" s="471" t="s">
        <v>1055</v>
      </c>
      <c r="U23" s="469"/>
      <c r="V23" s="415"/>
    </row>
    <row r="24" spans="1:22" s="229" customFormat="1" ht="30">
      <c r="A24" s="460">
        <v>2291371</v>
      </c>
      <c r="B24" s="461" t="s">
        <v>683</v>
      </c>
      <c r="C24" s="460" t="s">
        <v>19</v>
      </c>
      <c r="D24" s="460" t="s">
        <v>5</v>
      </c>
      <c r="E24" s="460">
        <v>19</v>
      </c>
      <c r="F24" s="462" t="s">
        <v>1098</v>
      </c>
      <c r="G24" s="460" t="s">
        <v>666</v>
      </c>
      <c r="H24" s="460" t="s">
        <v>1097</v>
      </c>
      <c r="I24" s="460" t="s">
        <v>55</v>
      </c>
      <c r="J24" s="463">
        <v>1850000</v>
      </c>
      <c r="K24" s="464" t="e">
        <f>MeetingHistoryData[[#This Row],[Rental Cost]]-MeetingHistoryData[[#This Row],[Supported By AW]]</f>
        <v>#VALUE!</v>
      </c>
      <c r="L24" s="465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24" s="466" t="s">
        <v>391</v>
      </c>
      <c r="N24" s="463" t="s">
        <v>291</v>
      </c>
      <c r="O24" s="467" t="s">
        <v>665</v>
      </c>
      <c r="P24" s="468"/>
      <c r="Q24" s="463" t="s">
        <v>1115</v>
      </c>
      <c r="R24" s="469"/>
      <c r="S24" s="470"/>
      <c r="T24" s="471"/>
      <c r="U24" s="469"/>
      <c r="V24" s="415"/>
    </row>
    <row r="25" spans="1:22" s="229" customFormat="1" ht="45">
      <c r="A25" s="460">
        <v>2008788</v>
      </c>
      <c r="B25" s="461" t="s">
        <v>971</v>
      </c>
      <c r="C25" s="460" t="s">
        <v>19</v>
      </c>
      <c r="D25" s="460" t="s">
        <v>5</v>
      </c>
      <c r="E25" s="460">
        <v>26</v>
      </c>
      <c r="F25" s="462" t="s">
        <v>1098</v>
      </c>
      <c r="G25" s="460" t="s">
        <v>666</v>
      </c>
      <c r="H25" s="460" t="s">
        <v>1106</v>
      </c>
      <c r="I25" s="472" t="s">
        <v>6</v>
      </c>
      <c r="J25" s="463">
        <v>2000000</v>
      </c>
      <c r="K25" s="464" t="e">
        <f>MeetingHistoryData[[#This Row],[Rental Cost]]-MeetingHistoryData[[#This Row],[Supported By AW]]</f>
        <v>#VALUE!</v>
      </c>
      <c r="L25" s="465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25" s="466" t="s">
        <v>391</v>
      </c>
      <c r="N25" s="463" t="s">
        <v>291</v>
      </c>
      <c r="O25" s="467" t="s">
        <v>665</v>
      </c>
      <c r="P25" s="468"/>
      <c r="Q25" s="463" t="s">
        <v>1136</v>
      </c>
      <c r="R25" s="469"/>
      <c r="S25" s="470"/>
      <c r="T25" s="471" t="s">
        <v>956</v>
      </c>
      <c r="U25" s="469"/>
      <c r="V25" s="415"/>
    </row>
    <row r="26" spans="1:22" s="229" customFormat="1" ht="30">
      <c r="A26" s="460">
        <v>2455182</v>
      </c>
      <c r="B26" s="461" t="s">
        <v>1137</v>
      </c>
      <c r="C26" s="460" t="s">
        <v>19</v>
      </c>
      <c r="D26" s="460" t="s">
        <v>5</v>
      </c>
      <c r="E26" s="460">
        <v>9</v>
      </c>
      <c r="F26" s="462" t="s">
        <v>624</v>
      </c>
      <c r="G26" s="460" t="s">
        <v>874</v>
      </c>
      <c r="H26" s="460" t="s">
        <v>898</v>
      </c>
      <c r="I26" s="472" t="s">
        <v>57</v>
      </c>
      <c r="J26" s="463">
        <v>2000000</v>
      </c>
      <c r="K26" s="464" t="e">
        <f>MeetingHistoryData[[#This Row],[Rental Cost]]-MeetingHistoryData[[#This Row],[Supported By AW]]</f>
        <v>#VALUE!</v>
      </c>
      <c r="L26" s="465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26" s="466" t="s">
        <v>796</v>
      </c>
      <c r="N26" s="463" t="s">
        <v>291</v>
      </c>
      <c r="O26" s="467" t="s">
        <v>665</v>
      </c>
      <c r="P26" s="468"/>
      <c r="Q26" s="463" t="s">
        <v>1138</v>
      </c>
      <c r="R26" s="469"/>
      <c r="S26" s="470"/>
      <c r="T26" s="471"/>
      <c r="U26" s="469"/>
      <c r="V26" s="415"/>
    </row>
    <row r="27" spans="1:22" s="229" customFormat="1" ht="30">
      <c r="A27" s="218">
        <v>2009811</v>
      </c>
      <c r="B27" s="219" t="s">
        <v>1072</v>
      </c>
      <c r="C27" s="218" t="s">
        <v>21</v>
      </c>
      <c r="D27" s="218" t="s">
        <v>11</v>
      </c>
      <c r="E27" s="218">
        <v>15</v>
      </c>
      <c r="F27" s="220" t="s">
        <v>624</v>
      </c>
      <c r="G27" s="218" t="s">
        <v>662</v>
      </c>
      <c r="H27" s="218" t="s">
        <v>681</v>
      </c>
      <c r="I27" s="218" t="s">
        <v>10</v>
      </c>
      <c r="J27" s="221">
        <v>17000000</v>
      </c>
      <c r="K27" s="222" t="e">
        <f>MeetingHistoryData[[#This Row],[Rental Cost]]-MeetingHistoryData[[#This Row],[Supported By AW]]</f>
        <v>#VALUE!</v>
      </c>
      <c r="L27" s="223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27" s="224" t="s">
        <v>796</v>
      </c>
      <c r="N27" s="221" t="s">
        <v>291</v>
      </c>
      <c r="O27" s="225" t="s">
        <v>665</v>
      </c>
      <c r="P27" s="226"/>
      <c r="Q27" s="221" t="s">
        <v>1144</v>
      </c>
      <c r="R27" s="227"/>
      <c r="S27" s="228"/>
      <c r="T27" s="227" t="s">
        <v>893</v>
      </c>
      <c r="U27" s="227"/>
      <c r="V27" s="415" t="s">
        <v>1028</v>
      </c>
    </row>
    <row r="28" spans="1:22" s="229" customFormat="1" ht="30">
      <c r="A28" s="218">
        <v>2544584</v>
      </c>
      <c r="B28" s="219" t="s">
        <v>925</v>
      </c>
      <c r="C28" s="218" t="s">
        <v>19</v>
      </c>
      <c r="D28" s="218" t="s">
        <v>5</v>
      </c>
      <c r="E28" s="218">
        <v>12</v>
      </c>
      <c r="F28" s="220" t="s">
        <v>624</v>
      </c>
      <c r="G28" s="218" t="s">
        <v>666</v>
      </c>
      <c r="H28" s="218" t="s">
        <v>1129</v>
      </c>
      <c r="I28" s="218" t="s">
        <v>789</v>
      </c>
      <c r="J28" s="221">
        <v>2000000</v>
      </c>
      <c r="K28" s="222" t="e">
        <f>MeetingHistoryData[[#This Row],[Rental Cost]]-MeetingHistoryData[[#This Row],[Supported By AW]]</f>
        <v>#VALUE!</v>
      </c>
      <c r="L28" s="223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28" s="224" t="s">
        <v>796</v>
      </c>
      <c r="N28" s="221" t="s">
        <v>291</v>
      </c>
      <c r="O28" s="225" t="s">
        <v>665</v>
      </c>
      <c r="P28" s="226"/>
      <c r="Q28" s="221" t="s">
        <v>1147</v>
      </c>
      <c r="R28" s="227"/>
      <c r="S28" s="228"/>
      <c r="T28" s="227"/>
      <c r="U28" s="227"/>
      <c r="V28" s="415"/>
    </row>
    <row r="29" spans="1:22" s="229" customFormat="1" ht="30">
      <c r="A29" s="218">
        <v>2544584</v>
      </c>
      <c r="B29" s="219" t="s">
        <v>925</v>
      </c>
      <c r="C29" s="218" t="s">
        <v>19</v>
      </c>
      <c r="D29" s="218" t="s">
        <v>5</v>
      </c>
      <c r="E29" s="218">
        <v>12</v>
      </c>
      <c r="F29" s="220" t="s">
        <v>624</v>
      </c>
      <c r="G29" s="218" t="s">
        <v>668</v>
      </c>
      <c r="H29" s="218" t="s">
        <v>1129</v>
      </c>
      <c r="I29" s="218" t="s">
        <v>789</v>
      </c>
      <c r="J29" s="221">
        <v>2000000</v>
      </c>
      <c r="K29" s="222" t="e">
        <f>MeetingHistoryData[[#This Row],[Rental Cost]]-MeetingHistoryData[[#This Row],[Supported By AW]]</f>
        <v>#VALUE!</v>
      </c>
      <c r="L29" s="223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29" s="224" t="s">
        <v>796</v>
      </c>
      <c r="N29" s="221" t="s">
        <v>291</v>
      </c>
      <c r="O29" s="225" t="s">
        <v>665</v>
      </c>
      <c r="P29" s="226"/>
      <c r="Q29" s="221" t="s">
        <v>1148</v>
      </c>
      <c r="R29" s="227"/>
      <c r="S29" s="228"/>
      <c r="T29" s="227"/>
      <c r="U29" s="227"/>
      <c r="V29" s="415"/>
    </row>
    <row r="30" spans="1:22" s="229" customFormat="1" ht="30">
      <c r="A30" s="460">
        <v>2458683</v>
      </c>
      <c r="B30" s="461" t="s">
        <v>1063</v>
      </c>
      <c r="C30" s="460" t="s">
        <v>19</v>
      </c>
      <c r="D30" s="460" t="s">
        <v>5</v>
      </c>
      <c r="E30" s="460">
        <v>29</v>
      </c>
      <c r="F30" s="462" t="s">
        <v>624</v>
      </c>
      <c r="G30" s="460" t="s">
        <v>668</v>
      </c>
      <c r="H30" s="460" t="s">
        <v>850</v>
      </c>
      <c r="I30" s="472" t="s">
        <v>10</v>
      </c>
      <c r="J30" s="463">
        <v>3000000</v>
      </c>
      <c r="K30" s="464" t="e">
        <f>MeetingHistoryData[[#This Row],[Rental Cost]]-MeetingHistoryData[[#This Row],[Supported By AW]]</f>
        <v>#VALUE!</v>
      </c>
      <c r="L30" s="465" t="e">
        <f>IF(MeetingHistoryData[[#This Row],[Meeting Type]]="100pax",IF(MeetingHistoryData[[#This Row],[Rental Cost]]*0.8&gt;2000000,2000000,MeetingHistoryData[[#This Row],[Rental Cost]]*0.8),IF(MeetingHistoryData[[#This Row],[Meeting Type]]="500pax",IF(MeetingHistoryData[[#This Row],[Rental Cost]]*0.8&gt;11000000,11000000,MeetingHistoryData[[#This Row],[Rental Cost]]*0.8),IF(MeetingHistoryData[[#This Row],[Meeting Type]]="1000pax",IF(MeetingHistoryData[[#This Row],[Rental Cost]]*0.8&gt;22000000,22000000,MeetingHistoryData[[#This Row],[Rental Cost]]*0.8), IF(MeetingHistoryData[[#This Row],[Meeting Type]]="1500-2000pax",IF(MeetingHistoryData[[#This Row],[Rental Cost]]&gt;60000000,60000000,MeetingHistoryData[[#This Row],[Rental Cost]])))))</f>
        <v>#VALUE!</v>
      </c>
      <c r="M30" s="466" t="s">
        <v>796</v>
      </c>
      <c r="N30" s="463" t="s">
        <v>291</v>
      </c>
      <c r="O30" s="467" t="s">
        <v>665</v>
      </c>
      <c r="P30" s="468"/>
      <c r="Q30" s="463" t="s">
        <v>1146</v>
      </c>
      <c r="R30" s="469"/>
      <c r="S30" s="470"/>
      <c r="T30" s="469"/>
      <c r="U30" s="469"/>
      <c r="V30" s="415"/>
    </row>
  </sheetData>
  <sheetProtection selectLockedCells="1"/>
  <dataValidations count="1">
    <dataValidation type="list" allowBlank="1" showInputMessage="1" showErrorMessage="1" sqref="D4:D30">
      <formula1>"100pax,500pax,1000pax,1500-2000pax"</formula1>
    </dataValidation>
  </dataValidations>
  <pageMargins left="0.2" right="0.2" top="0.2" bottom="0.2" header="0.2" footer="0.2"/>
  <pageSetup paperSize="9" scale="41" fitToHeight="8" orientation="landscape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MainMenu</vt:lpstr>
      <vt:lpstr>Reports</vt:lpstr>
      <vt:lpstr>MeetingHistoryData</vt:lpstr>
      <vt:lpstr>DistMeetingQuota</vt:lpstr>
      <vt:lpstr>Price</vt:lpstr>
      <vt:lpstr>MEAL ALLOWANCE 2000PAX</vt:lpstr>
      <vt:lpstr>MEETING Cancel</vt:lpstr>
      <vt:lpstr>Chart2</vt:lpstr>
      <vt:lpstr>ADAList2</vt:lpstr>
      <vt:lpstr>ADAListContent</vt:lpstr>
      <vt:lpstr>MeetingContent</vt:lpstr>
      <vt:lpstr>DistMeetingQuota!Print_Titles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 Vu</dc:creator>
  <cp:lastModifiedBy>Administrator</cp:lastModifiedBy>
  <cp:lastPrinted>2013-11-14T03:35:08Z</cp:lastPrinted>
  <dcterms:created xsi:type="dcterms:W3CDTF">2010-08-23T14:01:10Z</dcterms:created>
  <dcterms:modified xsi:type="dcterms:W3CDTF">2014-03-14T10:19:56Z</dcterms:modified>
</cp:coreProperties>
</file>